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8E274692-9F1C-4EE0-B6DF-78FC0322557B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<sst xmlns="http://schemas.openxmlformats.org/spreadsheetml/2006/main" count="292" uniqueCount="164">
  <si>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</si>
  <si>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</si>
  <si>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</si>
  <si>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</si>
  <si>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</si>
  <si>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</si>
  <si>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</si>
  <si>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</si>
  <si>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</si>
  <si>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</si>
  <si>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</si>
  <si>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</si>
  <si>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</si>
  <si>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</si>
  <si>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</si>
  <si>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</si>
  <si>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</si>
  <si>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</si>
  <si>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</si>
  <si>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</si>
  <si>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</si>
  <si>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</si>
  <si>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</si>
  <si>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</si>
  <si>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</si>
  <si>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</si>
  <si>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</si>
  <si>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</si>
  <si>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</si>
  <si>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</si>
  <si>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</si>
  <si>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</si>
  <si>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</si>
  <si>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</si>
  <si>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</si>
  <si>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</si>
  <si>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</si>
  <si>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</si>
  <si>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</si>
  <si>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</si>
  <si>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</si>
  <si>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</si>
  <si>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</si>
  <si>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</si>
  <si>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</si>
  <si>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</si>
  <si>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</si>
  <si>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</si>
  <si>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</si>
  <si>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</si>
  <si>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</si>
  <si>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</si>
  <si>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</si>
  <si>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</si>
  <si>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</si>
  <si>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</si>
  <si>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</si>
  <si>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</si>
  <si>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</si>
  <si>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</si>
  <si>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</si>
  <si>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</si>
  <si>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</si>
  <si>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</si>
  <si>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</si>
  <si>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</si>
  <si>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</si>
  <si>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</si>
  <si>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</si>
  <si>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</si>
  <si>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</si>
  <si>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</si>
  <si>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</si>
  <si>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</si>
  <si>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</si>
  <si>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</si>
  <si>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</si>
  <si>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</si>
  <si>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</si>
  <si>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</si>
  <si>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</si>
  <si>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</si>
  <si>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</si>
  <si>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</si>
  <si>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</si>
  <si>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</si>
  <si>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</si>
  <si>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</si>
  <si>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</si>
  <si>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</si>
  <si>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</si>
  <si>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</si>
  <si>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</si>
  <si>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</si>
  <si>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</si>
  <si>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</si>
  <si>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</si>
  <si>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</si>
  <si>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</si>
  <si>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</si>
  <si>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</si>
  <si>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</si>
  <si>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</si>
  <si>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</si>
  <si>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</si>
  <si>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</si>
  <si>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</si>
  <si>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</si>
  <si>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</si>
  <si>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</si>
  <si>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</si>
  <si>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</si>
  <si>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</si>
  <si>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</si>
  <si>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</si>
  <si>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</si>
  <si>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</si>
  <si>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</si>
  <si>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</si>
  <si>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</si>
  <si>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</si>
  <si>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</si>
  <si>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</si>
  <si>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</si>
  <si>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</si>
  <si>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</si>
  <si>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</si>
  <si>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</si>
  <si>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</si>
  <si>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</si>
  <si>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</si>
  <si>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</si>
  <si>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</si>
  <si>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</si>
  <si>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</si>
  <si>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</si>
  <si>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</si>
  <si>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</si>
  <si>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</si>
  <si>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</si>
  <si>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</si>
  <si>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</si>
  <si>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</si>
  <si>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</si>
  <si>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</si>
  <si>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</si>
  <si>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</si>
  <si>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</si>
  <si>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</si>
  <si>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</si>
  <si>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</si>
  <si>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</si>
  <si>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</si>
  <si>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</si>
  <si>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</si>
  <si>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</si>
  <si>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</si>
  <si>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</si>
  <si>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</si>
  <si>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</si>
  <si>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p cataluna</t>
  </si>
  <si>
    <t>my friend</t>
  </si>
  <si>
    <t>20250409131354-7349</t>
  </si>
  <si>
    <t>CANCELADA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</si>
</sst>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  <xf numFmtId="44" fontId="16" fillId="35" borderId="16" xfId="46" applyFont="1" applyFill="1" applyBorder="1" applyAlignment="1">
      <alignment horizontal="center"/>
    </xf>
    <xf numFmtId="44" fontId="0" fillId="0" borderId="13" xfId="46" applyFont="1" applyBorder="1"/>
    <xf numFmtId="44" fontId="0" fillId="0" borderId="13" xfId="46" applyFont="1" applyFill="1" applyBorder="1"/>
    <xf numFmtId="44" fontId="0" fillId="0" borderId="13" xfId="46" applyFont="1" applyBorder="1" applyAlignment="1">
      <alignment horizontal="right"/>
    </xf>
    <xf numFmtId="44" fontId="0" fillId="0" borderId="19" xfId="46" applyFont="1" applyBorder="1"/>
    <xf numFmtId="44" fontId="0" fillId="0" borderId="0" xfId="46" applyFont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6" builtinId="4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3" totalsRowShown="0" headerRowDxfId="9">
  <autoFilter ref="A1:D3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3"/>
  <sheetViews>
    <sheetView workbookViewId="0">
      <selection activeCell="A3" sqref="A3:D3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  <row r="3" spans="1:4" x14ac:dyDescent="0.25">
      <c r="A3">
        <v>1234</v>
      </c>
      <c r="B3" t="s">
        <v>160</v>
      </c>
      <c r="C3" t="s">
        <v>161</v>
      </c>
      <c r="D3">
        <v>38759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topLeftCell="A89" workbookViewId="0">
      <selection activeCell="B16" sqref="B16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style="39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34" t="s">
        <v>159</v>
      </c>
    </row>
    <row r="2" spans="1:6" x14ac:dyDescent="0.25">
      <c r="A2" s="18" t="s">
        <v>7</v>
      </c>
      <c r="B2" s="18">
        <v>4</v>
      </c>
      <c r="C2" s="3">
        <v>21</v>
      </c>
      <c r="D2" s="33">
        <v>6</v>
      </c>
      <c r="E2" s="21">
        <v>10000</v>
      </c>
      <c r="F2" s="35">
        <f>+inventario[[#This Row],[precio]]*inventario[[#This Row],[unds x paca]]</f>
        <v>60000</v>
      </c>
    </row>
    <row r="3" spans="1:6" x14ac:dyDescent="0.25">
      <c r="A3" s="18" t="s">
        <v>8</v>
      </c>
      <c r="B3" s="18">
        <v>0</v>
      </c>
      <c r="C3" s="3">
        <v>33</v>
      </c>
      <c r="D3" s="33">
        <v>3</v>
      </c>
      <c r="E3" s="21">
        <v>0</v>
      </c>
      <c r="F3" s="35">
        <f>+inventario[[#This Row],[precio]]*inventario[[#This Row],[unds x paca]]</f>
        <v>0</v>
      </c>
    </row>
    <row r="4" spans="1:6" x14ac:dyDescent="0.25">
      <c r="A4" s="18" t="s">
        <v>9</v>
      </c>
      <c r="B4" s="18">
        <v>6</v>
      </c>
      <c r="C4" s="3">
        <v>5</v>
      </c>
      <c r="D4" s="33">
        <v>11</v>
      </c>
      <c r="E4" s="21">
        <v>6000</v>
      </c>
      <c r="F4" s="35">
        <f>+inventario[[#This Row],[precio]]*inventario[[#This Row],[unds x paca]]</f>
        <v>66000</v>
      </c>
    </row>
    <row r="5" spans="1:6" x14ac:dyDescent="0.25">
      <c r="A5" s="18" t="s">
        <v>10</v>
      </c>
      <c r="B5" s="18">
        <v>1</v>
      </c>
      <c r="C5" s="3">
        <v>23</v>
      </c>
      <c r="D5" s="33">
        <v>3</v>
      </c>
      <c r="E5" s="21">
        <v>5000</v>
      </c>
      <c r="F5" s="35">
        <f>+inventario[[#This Row],[precio]]*inventario[[#This Row],[unds x paca]]</f>
        <v>15000</v>
      </c>
    </row>
    <row r="6" spans="1:6" x14ac:dyDescent="0.25">
      <c r="A6" s="18" t="s">
        <v>11</v>
      </c>
      <c r="B6" s="18">
        <v>1</v>
      </c>
      <c r="C6" s="3">
        <v>32</v>
      </c>
      <c r="D6" s="33">
        <v>2</v>
      </c>
      <c r="E6" s="21"/>
      <c r="F6" s="35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22</v>
      </c>
      <c r="D7" s="33">
        <v>6</v>
      </c>
      <c r="E7" s="21">
        <v>5500</v>
      </c>
      <c r="F7" s="35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35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35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35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35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35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35">
        <f>+inventario[[#This Row],[precio]]*inventario[[#This Row],[unds x paca]]</f>
        <v>0</v>
      </c>
    </row>
    <row r="14" spans="1:6" x14ac:dyDescent="0.25">
      <c r="A14" s="18" t="s">
        <v>19</v>
      </c>
      <c r="B14" s="18">
        <v>0</v>
      </c>
      <c r="C14" s="3">
        <v>33</v>
      </c>
      <c r="D14" s="33">
        <v>6</v>
      </c>
      <c r="E14" s="21">
        <v>2000</v>
      </c>
      <c r="F14" s="35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35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>
        <v>1</v>
      </c>
      <c r="D16" s="33">
        <v>10</v>
      </c>
      <c r="E16" s="21">
        <v>0</v>
      </c>
      <c r="F16" s="35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>
        <v>1</v>
      </c>
      <c r="D17" s="33">
        <v>1</v>
      </c>
      <c r="E17" s="21">
        <v>0</v>
      </c>
      <c r="F17" s="35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36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35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35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35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35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35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35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35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35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35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35">
        <f>+inventario[[#This Row],[precio]]*inventario[[#This Row],[unds x paca]]</f>
        <v>0</v>
      </c>
    </row>
    <row r="29" spans="1:6" x14ac:dyDescent="0.25">
      <c r="A29" s="18" t="s">
        <v>31</v>
      </c>
      <c r="B29" s="18">
        <v>4</v>
      </c>
      <c r="C29" s="3">
        <v>19</v>
      </c>
      <c r="D29" s="33">
        <v>0</v>
      </c>
      <c r="E29" s="21">
        <v>0</v>
      </c>
      <c r="F29" s="35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35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35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35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35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35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35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35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35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35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35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35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35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35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35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35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35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35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35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3</v>
      </c>
      <c r="C48" s="3">
        <v>9</v>
      </c>
      <c r="D48" s="33">
        <v>8</v>
      </c>
      <c r="E48" s="21">
        <v>3500</v>
      </c>
      <c r="F48" s="35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35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35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35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35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35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35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35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35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35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35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35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35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35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35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35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35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37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37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37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37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37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37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37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37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37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35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35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35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35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35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35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35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35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35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35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35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35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35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35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35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35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35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35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35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35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35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35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35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35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35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35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35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35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35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35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35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35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35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35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35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35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35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35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35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35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35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35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35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35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35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35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35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35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38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F2" sqref="F2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11.285156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>
        <v>45756</v>
      </c>
      <c r="B2" t="s">
        <v>162</v>
      </c>
      <c r="C2" t="s">
        <v>161</v>
      </c>
      <c r="D2" t="s">
        <v>160</v>
      </c>
      <c r="E2" t="s">
        <v>151</v>
      </c>
      <c r="F2" t="s">
        <v>163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C31" sqref="C31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tabSelected="1" workbookViewId="0">
      <selection activeCell="M5" sqref="M5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D8" sqref="D8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2025-04-10T02:23:56Z</dcterms:modified>
</cp:coreProperties>
</file>