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esktop\studious-winner\"/>
    </mc:Choice>
  </mc:AlternateContent>
  <xr:revisionPtr revIDLastSave="0" documentId="13_ncr:1_{8EC00032-3CE4-44ED-8E3E-D19BE161EC67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clientes" sheetId="9" r:id="rId1"/>
    <sheet name="inventario" sheetId="1" r:id="rId2"/>
    <sheet name="ordenes" sheetId="13" r:id="rId3"/>
    <sheet name="ventas" sheetId="14" r:id="rId4"/>
    <sheet name="Facturas" sheetId="2" state="hidden" r:id="rId5"/>
    <sheet name="vendedores" sheetId="16" r:id="rId6"/>
    <sheet name="Indicadores" sheetId="17" r:id="rId7"/>
    <sheet name="Hoja1" sheetId="12" state="hidden" r:id="rId8"/>
    <sheet name="Sheet1" sheetId="11" state="hidden" r:id="rId9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<sst xmlns="http://schemas.openxmlformats.org/spreadsheetml/2006/main" count="285" uniqueCount="160">
  <si>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</si>
  <si>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</si>
  <si>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</si>
  <si>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</si>
  <si>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</si>
  <si>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</si>
  <si>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</si>
  <si>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</si>
  <si>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</si>
  <si>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</si>
  <si>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</si>
  <si>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</si>
  <si>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</si>
  <si>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</si>
  <si>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</si>
  <si>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</si>
  <si>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</si>
  <si>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</si>
  <si>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</si>
  <si>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</si>
  <si>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</si>
  <si>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</si>
  <si>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</si>
  <si>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</si>
  <si>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</si>
  <si>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</si>
  <si>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</si>
  <si>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</si>
  <si>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</si>
  <si>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</si>
  <si>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</si>
  <si>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</si>
  <si>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</si>
  <si>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</si>
  <si>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</si>
  <si>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</si>
  <si>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</si>
  <si>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</si>
  <si>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</si>
  <si>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</si>
  <si>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</si>
  <si>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</si>
  <si>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</si>
  <si>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</si>
  <si>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</si>
  <si>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</si>
  <si>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</si>
  <si>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</si>
  <si>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</si>
  <si>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</si>
  <si>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</si>
  <si>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</si>
  <si>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</si>
  <si>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</si>
  <si>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</si>
  <si>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</si>
  <si>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</si>
  <si>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</si>
  <si>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</si>
  <si>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</si>
  <si>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</si>
  <si>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</si>
  <si>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</si>
  <si>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</si>
  <si>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</si>
  <si>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</si>
  <si>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</si>
  <si>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</si>
  <si>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</si>
  <si>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</si>
  <si>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</si>
  <si>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</si>
  <si>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</si>
  <si>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</si>
  <si>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</si>
  <si>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</si>
  <si>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</si>
  <si>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</si>
  <si>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</si>
  <si>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</si>
  <si>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</si>
  <si>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</si>
  <si>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</si>
  <si>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</si>
  <si>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</si>
  <si>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</si>
  <si>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</si>
  <si>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</si>
  <si>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</si>
  <si>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</si>
  <si>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</si>
  <si>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</si>
  <si>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</si>
  <si>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</si>
  <si>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</si>
  <si>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</si>
  <si>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</si>
  <si>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</si>
  <si>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</si>
  <si>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</si>
  <si>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</si>
  <si>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</si>
  <si>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</si>
  <si>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</si>
  <si>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</si>
  <si>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</si>
  <si>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</si>
  <si>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</si>
  <si>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</si>
  <si>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</si>
  <si>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</si>
  <si>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</si>
  <si>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</si>
  <si>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</si>
  <si>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</si>
  <si>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</si>
  <si>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</si>
  <si>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</si>
  <si>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</si>
  <si>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</si>
  <si>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</si>
  <si>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</si>
  <si>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</si>
  <si>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</si>
  <si>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</si>
  <si>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</si>
  <si>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</si>
  <si>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</si>
  <si>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</si>
  <si>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</si>
  <si>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</si>
  <si>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</si>
  <si>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</si>
  <si>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</si>
  <si>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</si>
  <si>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</si>
  <si>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</si>
  <si>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</si>
  <si>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</si>
  <si>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</si>
  <si>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</si>
  <si>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</si>
  <si>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</si>
  <si>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</si>
  <si>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</si>
  <si>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</si>
  <si>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</si>
  <si>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</si>
  <si>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</si>
  <si>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</si>
  <si>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Lina Maria Gutiérrez</t>
  </si>
  <si>
    <t>Sebastian</t>
  </si>
  <si>
    <t>Gefry</t>
  </si>
  <si>
    <t>Camilo Salazar</t>
  </si>
  <si>
    <t>Nombre_Vendedores</t>
  </si>
  <si>
    <t>unds x paca</t>
  </si>
  <si>
    <t>cantidad tienda (unds)</t>
  </si>
  <si>
    <t>vendedor</t>
  </si>
  <si>
    <t>unds o pacas</t>
  </si>
  <si>
    <t>precio paca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</si>
</sst>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16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164" fontId="0" fillId="0" borderId="13" xfId="45" applyFont="1" applyBorder="1"/>
    <xf numFmtId="164" fontId="0" fillId="0" borderId="13" xfId="45" applyFont="1" applyFill="1" applyBorder="1"/>
    <xf numFmtId="16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164" fontId="0" fillId="0" borderId="19" xfId="45" applyFont="1" applyBorder="1"/>
    <xf numFmtId="14" fontId="0" fillId="0" borderId="0" xfId="0" applyNumberFormat="1"/>
    <xf numFmtId="0" fontId="0" fillId="0" borderId="19" xfId="0" applyBorder="1"/>
    <xf numFmtId="0" fontId="16" fillId="35" borderId="16" xfId="0" applyFont="1" applyFill="1" applyBorder="1" applyAlignment="1">
      <alignment horizontal="center"/>
    </xf>
    <xf numFmtId="0" fontId="0" fillId="0" borderId="13" xfId="0" applyBorder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2" totalsRowShown="0" headerRowDxfId="9">
  <autoFilter ref="A1:D2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F122" totalsRowShown="0" headerRowBorderDxfId="8" tableBorderDxfId="7" totalsRowBorderDxfId="6">
  <autoFilter ref="A1:F122" xr:uid="{307DBC5F-3EDE-4581-A466-30A56BCA9DF4}"/>
  <tableColumns count="6">
    <tableColumn id="1" xr3:uid="{FC7FED7E-A956-40CF-81FF-3682E77EB9EA}" name="Producto" dataDxfId="5"/>
    <tableColumn id="5" xr3:uid="{88CEB127-22AC-4B12-881E-296A51693002}" name="cantidad tienda (unds)" dataDxfId="4"/>
    <tableColumn id="2" xr3:uid="{B2D53BD9-80E7-4D4E-86D9-0F5F56B66B20}" name="cantidad en bodega" dataDxfId="3"/>
    <tableColumn id="6" xr3:uid="{C9836B99-3FF1-4072-9E16-CF293A2F3374}" name="unds x paca" dataDxfId="2"/>
    <tableColumn id="3" xr3:uid="{B454491A-7D4E-4B08-B9E8-C1023FF19FFB}" name="precio" dataDxfId="1" dataCellStyle="Currency 2"/>
    <tableColumn id="4" xr3:uid="{46C16596-D287-49AC-966B-AC6C5F58B58E}" name="precio paca" dataDxfId="0" dataCellStyle="Currency 2">
      <calculatedColumnFormula>+inventario[[#This Row],[precio]]*inventario[[#This Row],[unds x paca]]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2" insertRow="1" totalsRowShown="0">
  <autoFilter ref="A1:F2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F2" insertRow="1" totalsRowShown="0">
  <autoFilter ref="A1:F2" xr:uid="{33A84EF3-D179-4B69-A9D7-FC3CD80E8D25}"/>
  <tableColumns count="6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6" xr3:uid="{D8345E56-7475-49AE-863D-C16D8C4E2060}" name="unds o pacas"/>
    <tableColumn id="5" xr3:uid="{C1344D42-FDB6-4F78-B65E-C38422F327A4}" name="clien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2"/>
  <sheetViews>
    <sheetView workbookViewId="0">
      <selection activeCell="E15" sqref="E15"/>
    </sheetView>
  </sheetViews>
  <sheetFormatPr defaultColWidth="8.85546875"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  <col min="4" max="4" width="15.140625" bestFit="1" customWidth="1"/>
  </cols>
  <sheetData>
    <row r="1" spans="1:4" x14ac:dyDescent="0.25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25">
      <c r="A2">
        <v>2367890</v>
      </c>
      <c r="B2" t="s">
        <v>137</v>
      </c>
      <c r="C2" t="s">
        <v>138</v>
      </c>
      <c r="D2">
        <v>3272778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2"/>
  <sheetViews>
    <sheetView workbookViewId="0">
      <selection activeCell="C16" sqref="C16"/>
    </sheetView>
  </sheetViews>
  <sheetFormatPr defaultColWidth="8.85546875" defaultRowHeight="15" x14ac:dyDescent="0.25"/>
  <cols>
    <col min="1" max="1" width="38.7109375" bestFit="1" customWidth="1"/>
    <col min="2" max="3" width="38.7109375" customWidth="1"/>
    <col min="4" max="4" width="20.5703125" customWidth="1"/>
    <col min="5" max="5" width="13.140625" style="17" bestFit="1" customWidth="1"/>
    <col min="6" max="6" width="13.5703125" bestFit="1" customWidth="1"/>
  </cols>
  <sheetData>
    <row r="1" spans="1:6" x14ac:dyDescent="0.25">
      <c r="A1" s="24" t="s">
        <v>130</v>
      </c>
      <c r="B1" s="24" t="s">
        <v>156</v>
      </c>
      <c r="C1" s="25" t="s">
        <v>0</v>
      </c>
      <c r="D1" s="32" t="s">
        <v>155</v>
      </c>
      <c r="E1" s="26" t="s">
        <v>1</v>
      </c>
      <c r="F1" s="26" t="s">
        <v>159</v>
      </c>
    </row>
    <row r="2" spans="1:6" x14ac:dyDescent="0.25">
      <c r="A2" s="18" t="s">
        <v>7</v>
      </c>
      <c r="B2" s="18">
        <v>2</v>
      </c>
      <c r="C2" s="3">
        <v>21</v>
      </c>
      <c r="D2" s="33">
        <v>6</v>
      </c>
      <c r="E2" s="21">
        <v>10000</v>
      </c>
      <c r="F2" s="21">
        <f>+inventario[[#This Row],[precio]]*inventario[[#This Row],[unds x paca]]</f>
        <v>60000</v>
      </c>
    </row>
    <row r="3" spans="1:6" x14ac:dyDescent="0.25">
      <c r="A3" s="18" t="s">
        <v>8</v>
      </c>
      <c r="B3" s="18">
        <v>2</v>
      </c>
      <c r="C3" s="3">
        <v>33</v>
      </c>
      <c r="D3" s="33">
        <v>3</v>
      </c>
      <c r="E3" s="21">
        <v>0</v>
      </c>
      <c r="F3" s="21">
        <f>+inventario[[#This Row],[precio]]*inventario[[#This Row],[unds x paca]]</f>
        <v>0</v>
      </c>
    </row>
    <row r="4" spans="1:6" x14ac:dyDescent="0.25">
      <c r="A4" s="18" t="s">
        <v>9</v>
      </c>
      <c r="B4" s="18">
        <v>2</v>
      </c>
      <c r="C4" s="3">
        <v>5</v>
      </c>
      <c r="D4" s="33">
        <v>11</v>
      </c>
      <c r="E4" s="21">
        <v>6000</v>
      </c>
      <c r="F4" s="21">
        <f>+inventario[[#This Row],[precio]]*inventario[[#This Row],[unds x paca]]</f>
        <v>66000</v>
      </c>
    </row>
    <row r="5" spans="1:6" x14ac:dyDescent="0.25">
      <c r="A5" s="18" t="s">
        <v>10</v>
      </c>
      <c r="B5" s="18">
        <v>3</v>
      </c>
      <c r="C5" s="3">
        <v>27</v>
      </c>
      <c r="D5" s="33">
        <v>3</v>
      </c>
      <c r="E5" s="21">
        <v>5000</v>
      </c>
      <c r="F5" s="21">
        <f>+inventario[[#This Row],[precio]]*inventario[[#This Row],[unds x paca]]</f>
        <v>15000</v>
      </c>
    </row>
    <row r="6" spans="1:6" x14ac:dyDescent="0.25">
      <c r="A6" s="18" t="s">
        <v>11</v>
      </c>
      <c r="B6" s="18">
        <v>4</v>
      </c>
      <c r="C6" s="3">
        <v>32</v>
      </c>
      <c r="D6" s="33">
        <v>2</v>
      </c>
      <c r="E6" s="21"/>
      <c r="F6" s="21">
        <f>+inventario[[#This Row],[precio]]*inventario[[#This Row],[unds x paca]]</f>
        <v>0</v>
      </c>
    </row>
    <row r="7" spans="1:6" x14ac:dyDescent="0.25">
      <c r="A7" s="18" t="s">
        <v>12</v>
      </c>
      <c r="B7" s="18">
        <v>4</v>
      </c>
      <c r="C7" s="3">
        <v>25</v>
      </c>
      <c r="D7" s="33">
        <v>6</v>
      </c>
      <c r="E7" s="21">
        <v>5500</v>
      </c>
      <c r="F7" s="21">
        <f>+inventario[[#This Row],[precio]]*inventario[[#This Row],[unds x paca]]</f>
        <v>33000</v>
      </c>
    </row>
    <row r="8" spans="1:6" x14ac:dyDescent="0.25">
      <c r="A8" s="18" t="s">
        <v>13</v>
      </c>
      <c r="B8" s="18">
        <v>9</v>
      </c>
      <c r="C8" s="3">
        <v>8</v>
      </c>
      <c r="D8" s="33">
        <v>11</v>
      </c>
      <c r="E8" s="21">
        <v>3000</v>
      </c>
      <c r="F8" s="21">
        <f>+inventario[[#This Row],[precio]]*inventario[[#This Row],[unds x paca]]</f>
        <v>33000</v>
      </c>
    </row>
    <row r="9" spans="1:6" x14ac:dyDescent="0.25">
      <c r="A9" s="18" t="s">
        <v>14</v>
      </c>
      <c r="B9" s="18">
        <v>3</v>
      </c>
      <c r="C9" s="3">
        <v>7</v>
      </c>
      <c r="D9" s="33">
        <v>7</v>
      </c>
      <c r="E9" s="21">
        <v>0</v>
      </c>
      <c r="F9" s="21">
        <f>+inventario[[#This Row],[precio]]*inventario[[#This Row],[unds x paca]]</f>
        <v>0</v>
      </c>
    </row>
    <row r="10" spans="1:6" x14ac:dyDescent="0.25">
      <c r="A10" s="18" t="s">
        <v>15</v>
      </c>
      <c r="B10" s="18">
        <v>5</v>
      </c>
      <c r="C10" s="3">
        <v>11</v>
      </c>
      <c r="D10" s="33">
        <v>2</v>
      </c>
      <c r="E10" s="21">
        <v>2000</v>
      </c>
      <c r="F10" s="21">
        <f>+inventario[[#This Row],[precio]]*inventario[[#This Row],[unds x paca]]</f>
        <v>4000</v>
      </c>
    </row>
    <row r="11" spans="1:6" x14ac:dyDescent="0.25">
      <c r="A11" s="18" t="s">
        <v>16</v>
      </c>
      <c r="B11" s="18">
        <v>3</v>
      </c>
      <c r="C11" s="3">
        <v>40</v>
      </c>
      <c r="D11" s="33">
        <v>11</v>
      </c>
      <c r="E11" s="21">
        <v>2500</v>
      </c>
      <c r="F11" s="21">
        <f>+inventario[[#This Row],[precio]]*inventario[[#This Row],[unds x paca]]</f>
        <v>27500</v>
      </c>
    </row>
    <row r="12" spans="1:6" x14ac:dyDescent="0.25">
      <c r="A12" s="18" t="s">
        <v>17</v>
      </c>
      <c r="B12" s="18">
        <v>2</v>
      </c>
      <c r="C12" s="3">
        <v>36</v>
      </c>
      <c r="D12" s="33">
        <v>1</v>
      </c>
      <c r="E12" s="21">
        <v>0</v>
      </c>
      <c r="F12" s="21">
        <f>+inventario[[#This Row],[precio]]*inventario[[#This Row],[unds x paca]]</f>
        <v>0</v>
      </c>
    </row>
    <row r="13" spans="1:6" x14ac:dyDescent="0.25">
      <c r="A13" s="18" t="s">
        <v>18</v>
      </c>
      <c r="B13" s="18">
        <v>9</v>
      </c>
      <c r="C13" s="3">
        <v>14</v>
      </c>
      <c r="D13" s="33">
        <v>10</v>
      </c>
      <c r="E13" s="21">
        <v>0</v>
      </c>
      <c r="F13" s="21">
        <f>+inventario[[#This Row],[precio]]*inventario[[#This Row],[unds x paca]]</f>
        <v>0</v>
      </c>
    </row>
    <row r="14" spans="1:6" x14ac:dyDescent="0.25">
      <c r="A14" s="18" t="s">
        <v>19</v>
      </c>
      <c r="B14" s="18">
        <v>1</v>
      </c>
      <c r="C14" s="3">
        <v>33</v>
      </c>
      <c r="D14" s="33">
        <v>6</v>
      </c>
      <c r="E14" s="21">
        <v>2000</v>
      </c>
      <c r="F14" s="21">
        <f>+inventario[[#This Row],[precio]]*inventario[[#This Row],[unds x paca]]</f>
        <v>12000</v>
      </c>
    </row>
    <row r="15" spans="1:6" x14ac:dyDescent="0.25">
      <c r="A15" s="18" t="s">
        <v>20</v>
      </c>
      <c r="B15" s="18">
        <v>4</v>
      </c>
      <c r="C15" s="3">
        <v>35</v>
      </c>
      <c r="D15" s="33">
        <v>10</v>
      </c>
      <c r="E15" s="21">
        <v>1000</v>
      </c>
      <c r="F15" s="21">
        <f>+inventario[[#This Row],[precio]]*inventario[[#This Row],[unds x paca]]</f>
        <v>10000</v>
      </c>
    </row>
    <row r="16" spans="1:6" x14ac:dyDescent="0.25">
      <c r="A16" s="18" t="s">
        <v>139</v>
      </c>
      <c r="B16" s="18">
        <v>1</v>
      </c>
      <c r="C16" s="3"/>
      <c r="D16" s="33">
        <v>10</v>
      </c>
      <c r="E16" s="21">
        <v>0</v>
      </c>
      <c r="F16" s="21">
        <f>+inventario[[#This Row],[precio]]*inventario[[#This Row],[unds x paca]]</f>
        <v>0</v>
      </c>
    </row>
    <row r="17" spans="1:6" x14ac:dyDescent="0.25">
      <c r="A17" s="18" t="s">
        <v>140</v>
      </c>
      <c r="B17" s="18">
        <v>5</v>
      </c>
      <c r="C17" s="3"/>
      <c r="D17" s="33">
        <v>1</v>
      </c>
      <c r="E17" s="21">
        <v>0</v>
      </c>
      <c r="F17" s="21">
        <f>+inventario[[#This Row],[precio]]*inventario[[#This Row],[unds x paca]]</f>
        <v>0</v>
      </c>
    </row>
    <row r="18" spans="1:6" x14ac:dyDescent="0.25">
      <c r="A18" s="18" t="s">
        <v>141</v>
      </c>
      <c r="B18" s="18">
        <v>3</v>
      </c>
      <c r="C18" s="3"/>
      <c r="D18" s="33">
        <v>10</v>
      </c>
      <c r="E18" s="22">
        <v>0</v>
      </c>
      <c r="F18" s="22">
        <f>+inventario[[#This Row],[precio]]*inventario[[#This Row],[unds x paca]]</f>
        <v>0</v>
      </c>
    </row>
    <row r="19" spans="1:6" x14ac:dyDescent="0.25">
      <c r="A19" s="18" t="s">
        <v>21</v>
      </c>
      <c r="B19" s="18">
        <v>3</v>
      </c>
      <c r="C19" s="3">
        <v>35</v>
      </c>
      <c r="D19" s="33">
        <v>12</v>
      </c>
      <c r="E19" s="21">
        <v>0</v>
      </c>
      <c r="F19" s="21">
        <f>+inventario[[#This Row],[precio]]*inventario[[#This Row],[unds x paca]]</f>
        <v>0</v>
      </c>
    </row>
    <row r="20" spans="1:6" x14ac:dyDescent="0.25">
      <c r="A20" s="18" t="s">
        <v>22</v>
      </c>
      <c r="B20" s="18">
        <v>2</v>
      </c>
      <c r="C20" s="3">
        <v>18</v>
      </c>
      <c r="D20" s="33">
        <v>2</v>
      </c>
      <c r="E20" s="21">
        <v>0</v>
      </c>
      <c r="F20" s="21">
        <f>+inventario[[#This Row],[precio]]*inventario[[#This Row],[unds x paca]]</f>
        <v>0</v>
      </c>
    </row>
    <row r="21" spans="1:6" x14ac:dyDescent="0.25">
      <c r="A21" s="18" t="s">
        <v>23</v>
      </c>
      <c r="B21" s="18">
        <v>2</v>
      </c>
      <c r="C21" s="3">
        <v>26</v>
      </c>
      <c r="D21" s="33">
        <v>8</v>
      </c>
      <c r="E21" s="21">
        <v>5500</v>
      </c>
      <c r="F21" s="21">
        <f>+inventario[[#This Row],[precio]]*inventario[[#This Row],[unds x paca]]</f>
        <v>44000</v>
      </c>
    </row>
    <row r="22" spans="1:6" x14ac:dyDescent="0.25">
      <c r="A22" s="18" t="s">
        <v>24</v>
      </c>
      <c r="B22" s="18">
        <v>2</v>
      </c>
      <c r="C22" s="3">
        <v>14</v>
      </c>
      <c r="D22" s="33">
        <v>11</v>
      </c>
      <c r="E22" s="21">
        <v>0</v>
      </c>
      <c r="F22" s="21">
        <f>+inventario[[#This Row],[precio]]*inventario[[#This Row],[unds x paca]]</f>
        <v>0</v>
      </c>
    </row>
    <row r="23" spans="1:6" x14ac:dyDescent="0.25">
      <c r="A23" s="18" t="s">
        <v>25</v>
      </c>
      <c r="B23" s="18">
        <v>1</v>
      </c>
      <c r="C23" s="3">
        <v>21</v>
      </c>
      <c r="D23" s="33">
        <v>6</v>
      </c>
      <c r="E23" s="21">
        <v>4000</v>
      </c>
      <c r="F23" s="21">
        <f>+inventario[[#This Row],[precio]]*inventario[[#This Row],[unds x paca]]</f>
        <v>24000</v>
      </c>
    </row>
    <row r="24" spans="1:6" x14ac:dyDescent="0.25">
      <c r="A24" s="18" t="s">
        <v>26</v>
      </c>
      <c r="B24" s="18">
        <v>9</v>
      </c>
      <c r="C24" s="3">
        <v>20</v>
      </c>
      <c r="D24" s="33">
        <v>10</v>
      </c>
      <c r="E24" s="21">
        <v>2500</v>
      </c>
      <c r="F24" s="21">
        <f>+inventario[[#This Row],[precio]]*inventario[[#This Row],[unds x paca]]</f>
        <v>25000</v>
      </c>
    </row>
    <row r="25" spans="1:6" x14ac:dyDescent="0.25">
      <c r="A25" s="18" t="s">
        <v>27</v>
      </c>
      <c r="B25" s="18">
        <v>4</v>
      </c>
      <c r="C25" s="3">
        <v>36</v>
      </c>
      <c r="D25" s="33">
        <v>3</v>
      </c>
      <c r="E25" s="21">
        <v>4000</v>
      </c>
      <c r="F25" s="21">
        <f>+inventario[[#This Row],[precio]]*inventario[[#This Row],[unds x paca]]</f>
        <v>12000</v>
      </c>
    </row>
    <row r="26" spans="1:6" x14ac:dyDescent="0.25">
      <c r="A26" s="18" t="s">
        <v>28</v>
      </c>
      <c r="B26" s="18">
        <v>1</v>
      </c>
      <c r="C26" s="3">
        <v>30</v>
      </c>
      <c r="D26" s="33">
        <v>10</v>
      </c>
      <c r="E26" s="21">
        <v>2000</v>
      </c>
      <c r="F26" s="21">
        <f>+inventario[[#This Row],[precio]]*inventario[[#This Row],[unds x paca]]</f>
        <v>20000</v>
      </c>
    </row>
    <row r="27" spans="1:6" x14ac:dyDescent="0.25">
      <c r="A27" s="18" t="s">
        <v>29</v>
      </c>
      <c r="B27" s="18">
        <v>5</v>
      </c>
      <c r="C27" s="3">
        <v>24</v>
      </c>
      <c r="D27" s="33">
        <v>1</v>
      </c>
      <c r="E27" s="21">
        <v>0</v>
      </c>
      <c r="F27" s="21">
        <f>+inventario[[#This Row],[precio]]*inventario[[#This Row],[unds x paca]]</f>
        <v>0</v>
      </c>
    </row>
    <row r="28" spans="1:6" x14ac:dyDescent="0.25">
      <c r="A28" s="18" t="s">
        <v>30</v>
      </c>
      <c r="B28" s="18">
        <v>4</v>
      </c>
      <c r="C28" s="3">
        <v>31</v>
      </c>
      <c r="D28" s="33">
        <v>11</v>
      </c>
      <c r="E28" s="21">
        <v>0</v>
      </c>
      <c r="F28" s="21">
        <f>+inventario[[#This Row],[precio]]*inventario[[#This Row],[unds x paca]]</f>
        <v>0</v>
      </c>
    </row>
    <row r="29" spans="1:6" x14ac:dyDescent="0.25">
      <c r="A29" s="18" t="s">
        <v>31</v>
      </c>
      <c r="B29" s="18">
        <v>6</v>
      </c>
      <c r="C29" s="3">
        <v>19</v>
      </c>
      <c r="D29" s="33">
        <v>0</v>
      </c>
      <c r="E29" s="21">
        <v>0</v>
      </c>
      <c r="F29" s="21">
        <f>+inventario[[#This Row],[precio]]*inventario[[#This Row],[unds x paca]]</f>
        <v>0</v>
      </c>
    </row>
    <row r="30" spans="1:6" x14ac:dyDescent="0.25">
      <c r="A30" s="18" t="s">
        <v>32</v>
      </c>
      <c r="B30" s="18">
        <v>3</v>
      </c>
      <c r="C30" s="3">
        <v>18</v>
      </c>
      <c r="D30" s="33">
        <v>10</v>
      </c>
      <c r="E30" s="21">
        <v>0</v>
      </c>
      <c r="F30" s="21">
        <f>+inventario[[#This Row],[precio]]*inventario[[#This Row],[unds x paca]]</f>
        <v>0</v>
      </c>
    </row>
    <row r="31" spans="1:6" x14ac:dyDescent="0.25">
      <c r="A31" s="18" t="s">
        <v>33</v>
      </c>
      <c r="B31" s="18">
        <v>1</v>
      </c>
      <c r="C31" s="3">
        <v>19</v>
      </c>
      <c r="D31" s="33">
        <v>2</v>
      </c>
      <c r="E31" s="21">
        <v>0</v>
      </c>
      <c r="F31" s="21">
        <f>+inventario[[#This Row],[precio]]*inventario[[#This Row],[unds x paca]]</f>
        <v>0</v>
      </c>
    </row>
    <row r="32" spans="1:6" x14ac:dyDescent="0.25">
      <c r="A32" s="18" t="s">
        <v>34</v>
      </c>
      <c r="B32" s="18">
        <v>1</v>
      </c>
      <c r="C32" s="3">
        <v>40</v>
      </c>
      <c r="D32" s="33">
        <v>2</v>
      </c>
      <c r="E32" s="21">
        <v>0</v>
      </c>
      <c r="F32" s="21">
        <f>+inventario[[#This Row],[precio]]*inventario[[#This Row],[unds x paca]]</f>
        <v>0</v>
      </c>
    </row>
    <row r="33" spans="1:6" x14ac:dyDescent="0.25">
      <c r="A33" s="18" t="s">
        <v>35</v>
      </c>
      <c r="B33" s="18">
        <v>2</v>
      </c>
      <c r="C33" s="3">
        <v>40</v>
      </c>
      <c r="D33" s="33">
        <v>2</v>
      </c>
      <c r="E33" s="21">
        <v>2000</v>
      </c>
      <c r="F33" s="21">
        <f>+inventario[[#This Row],[precio]]*inventario[[#This Row],[unds x paca]]</f>
        <v>4000</v>
      </c>
    </row>
    <row r="34" spans="1:6" x14ac:dyDescent="0.25">
      <c r="A34" s="18" t="s">
        <v>36</v>
      </c>
      <c r="B34" s="18">
        <v>3</v>
      </c>
      <c r="C34" s="3">
        <v>37</v>
      </c>
      <c r="D34" s="33">
        <v>8</v>
      </c>
      <c r="E34" s="21">
        <v>1600</v>
      </c>
      <c r="F34" s="21">
        <f>+inventario[[#This Row],[precio]]*inventario[[#This Row],[unds x paca]]</f>
        <v>12800</v>
      </c>
    </row>
    <row r="35" spans="1:6" x14ac:dyDescent="0.25">
      <c r="A35" s="18" t="s">
        <v>142</v>
      </c>
      <c r="B35" s="18">
        <v>0</v>
      </c>
      <c r="C35" s="3"/>
      <c r="D35" s="33">
        <v>5</v>
      </c>
      <c r="E35" s="21">
        <v>3400</v>
      </c>
      <c r="F35" s="21">
        <f>+inventario[[#This Row],[precio]]*inventario[[#This Row],[unds x paca]]</f>
        <v>17000</v>
      </c>
    </row>
    <row r="36" spans="1:6" x14ac:dyDescent="0.25">
      <c r="A36" s="18" t="s">
        <v>37</v>
      </c>
      <c r="B36" s="18">
        <v>3</v>
      </c>
      <c r="C36" s="3">
        <v>26</v>
      </c>
      <c r="D36" s="33">
        <v>2</v>
      </c>
      <c r="E36" s="21">
        <v>3500</v>
      </c>
      <c r="F36" s="21">
        <f>+inventario[[#This Row],[precio]]*inventario[[#This Row],[unds x paca]]</f>
        <v>7000</v>
      </c>
    </row>
    <row r="37" spans="1:6" x14ac:dyDescent="0.25">
      <c r="A37" s="18" t="s">
        <v>38</v>
      </c>
      <c r="B37" s="18">
        <v>2</v>
      </c>
      <c r="C37" s="3">
        <v>38</v>
      </c>
      <c r="D37" s="33">
        <v>11</v>
      </c>
      <c r="E37" s="21">
        <v>3500</v>
      </c>
      <c r="F37" s="21">
        <f>+inventario[[#This Row],[precio]]*inventario[[#This Row],[unds x paca]]</f>
        <v>38500</v>
      </c>
    </row>
    <row r="38" spans="1:6" x14ac:dyDescent="0.25">
      <c r="A38" s="18" t="s">
        <v>39</v>
      </c>
      <c r="B38" s="18">
        <v>3</v>
      </c>
      <c r="C38" s="3">
        <v>14</v>
      </c>
      <c r="D38" s="33">
        <v>6</v>
      </c>
      <c r="E38" s="21">
        <v>3500</v>
      </c>
      <c r="F38" s="21">
        <f>+inventario[[#This Row],[precio]]*inventario[[#This Row],[unds x paca]]</f>
        <v>21000</v>
      </c>
    </row>
    <row r="39" spans="1:6" x14ac:dyDescent="0.25">
      <c r="A39" s="18" t="s">
        <v>40</v>
      </c>
      <c r="B39" s="18">
        <v>5</v>
      </c>
      <c r="C39" s="3">
        <v>19</v>
      </c>
      <c r="D39" s="33">
        <v>8</v>
      </c>
      <c r="E39" s="21">
        <v>0</v>
      </c>
      <c r="F39" s="21">
        <f>+inventario[[#This Row],[precio]]*inventario[[#This Row],[unds x paca]]</f>
        <v>0</v>
      </c>
    </row>
    <row r="40" spans="1:6" x14ac:dyDescent="0.25">
      <c r="A40" s="18" t="s">
        <v>41</v>
      </c>
      <c r="B40" s="18">
        <v>4</v>
      </c>
      <c r="C40" s="3">
        <v>8</v>
      </c>
      <c r="D40" s="33">
        <v>11</v>
      </c>
      <c r="E40" s="21">
        <v>0</v>
      </c>
      <c r="F40" s="21">
        <f>+inventario[[#This Row],[precio]]*inventario[[#This Row],[unds x paca]]</f>
        <v>0</v>
      </c>
    </row>
    <row r="41" spans="1:6" x14ac:dyDescent="0.25">
      <c r="A41" s="18" t="s">
        <v>42</v>
      </c>
      <c r="B41" s="18">
        <v>3</v>
      </c>
      <c r="C41" s="3">
        <v>36</v>
      </c>
      <c r="D41" s="33">
        <v>0</v>
      </c>
      <c r="E41" s="21">
        <v>0</v>
      </c>
      <c r="F41" s="21">
        <f>+inventario[[#This Row],[precio]]*inventario[[#This Row],[unds x paca]]</f>
        <v>0</v>
      </c>
    </row>
    <row r="42" spans="1:6" x14ac:dyDescent="0.25">
      <c r="A42" s="18" t="s">
        <v>43</v>
      </c>
      <c r="B42" s="18">
        <v>1</v>
      </c>
      <c r="C42" s="3">
        <v>15</v>
      </c>
      <c r="D42" s="33">
        <v>11</v>
      </c>
      <c r="E42" s="21">
        <v>0</v>
      </c>
      <c r="F42" s="21">
        <f>+inventario[[#This Row],[precio]]*inventario[[#This Row],[unds x paca]]</f>
        <v>0</v>
      </c>
    </row>
    <row r="43" spans="1:6" x14ac:dyDescent="0.25">
      <c r="A43" s="18" t="s">
        <v>44</v>
      </c>
      <c r="B43" s="18">
        <v>2</v>
      </c>
      <c r="C43" s="3">
        <v>7</v>
      </c>
      <c r="D43" s="33">
        <v>5</v>
      </c>
      <c r="E43" s="21">
        <v>0</v>
      </c>
      <c r="F43" s="21">
        <f>+inventario[[#This Row],[precio]]*inventario[[#This Row],[unds x paca]]</f>
        <v>0</v>
      </c>
    </row>
    <row r="44" spans="1:6" x14ac:dyDescent="0.25">
      <c r="A44" s="18" t="s">
        <v>45</v>
      </c>
      <c r="B44" s="18">
        <v>1</v>
      </c>
      <c r="C44" s="3">
        <v>36</v>
      </c>
      <c r="D44" s="33">
        <v>4</v>
      </c>
      <c r="E44" s="21">
        <v>0</v>
      </c>
      <c r="F44" s="21">
        <f>+inventario[[#This Row],[precio]]*inventario[[#This Row],[unds x paca]]</f>
        <v>0</v>
      </c>
    </row>
    <row r="45" spans="1:6" x14ac:dyDescent="0.25">
      <c r="A45" s="18" t="s">
        <v>46</v>
      </c>
      <c r="B45" s="18">
        <v>1</v>
      </c>
      <c r="C45" s="3">
        <v>13</v>
      </c>
      <c r="D45" s="33">
        <v>11</v>
      </c>
      <c r="E45" s="21">
        <v>0</v>
      </c>
      <c r="F45" s="21">
        <f>+inventario[[#This Row],[precio]]*inventario[[#This Row],[unds x paca]]</f>
        <v>0</v>
      </c>
    </row>
    <row r="46" spans="1:6" x14ac:dyDescent="0.25">
      <c r="A46" s="18" t="s">
        <v>47</v>
      </c>
      <c r="B46" s="18">
        <v>3</v>
      </c>
      <c r="C46" s="3">
        <v>7</v>
      </c>
      <c r="D46" s="33">
        <v>10</v>
      </c>
      <c r="E46" s="21">
        <v>0</v>
      </c>
      <c r="F46" s="21">
        <f>+inventario[[#This Row],[precio]]*inventario[[#This Row],[unds x paca]]</f>
        <v>0</v>
      </c>
    </row>
    <row r="47" spans="1:6" x14ac:dyDescent="0.25">
      <c r="A47" s="18" t="s">
        <v>48</v>
      </c>
      <c r="B47" s="18">
        <v>5</v>
      </c>
      <c r="C47" s="3">
        <v>12</v>
      </c>
      <c r="D47" s="33">
        <v>3</v>
      </c>
      <c r="E47" s="21">
        <v>3500</v>
      </c>
      <c r="F47" s="21">
        <f>+inventario[[#This Row],[precio]]*inventario[[#This Row],[unds x paca]]</f>
        <v>10500</v>
      </c>
    </row>
    <row r="48" spans="1:6" x14ac:dyDescent="0.25">
      <c r="A48" s="18" t="s">
        <v>49</v>
      </c>
      <c r="B48" s="18">
        <v>4</v>
      </c>
      <c r="C48" s="3">
        <v>9</v>
      </c>
      <c r="D48" s="33">
        <v>8</v>
      </c>
      <c r="E48" s="21">
        <v>3500</v>
      </c>
      <c r="F48" s="21">
        <f>+inventario[[#This Row],[precio]]*inventario[[#This Row],[unds x paca]]</f>
        <v>28000</v>
      </c>
    </row>
    <row r="49" spans="1:6" x14ac:dyDescent="0.25">
      <c r="A49" s="18" t="s">
        <v>50</v>
      </c>
      <c r="B49" s="18">
        <v>3</v>
      </c>
      <c r="C49" s="3">
        <v>27</v>
      </c>
      <c r="D49" s="33">
        <v>3</v>
      </c>
      <c r="E49" s="21">
        <v>3500</v>
      </c>
      <c r="F49" s="21">
        <f>+inventario[[#This Row],[precio]]*inventario[[#This Row],[unds x paca]]</f>
        <v>10500</v>
      </c>
    </row>
    <row r="50" spans="1:6" x14ac:dyDescent="0.25">
      <c r="A50" s="18" t="s">
        <v>51</v>
      </c>
      <c r="B50" s="18">
        <v>4</v>
      </c>
      <c r="C50" s="3">
        <v>8</v>
      </c>
      <c r="D50" s="33">
        <v>10</v>
      </c>
      <c r="E50" s="21">
        <v>0</v>
      </c>
      <c r="F50" s="21">
        <f>+inventario[[#This Row],[precio]]*inventario[[#This Row],[unds x paca]]</f>
        <v>0</v>
      </c>
    </row>
    <row r="51" spans="1:6" x14ac:dyDescent="0.25">
      <c r="A51" s="18" t="s">
        <v>52</v>
      </c>
      <c r="B51" s="18">
        <v>6</v>
      </c>
      <c r="C51" s="3">
        <v>32</v>
      </c>
      <c r="D51" s="33">
        <v>8</v>
      </c>
      <c r="E51" s="21">
        <v>0</v>
      </c>
      <c r="F51" s="21">
        <f>+inventario[[#This Row],[precio]]*inventario[[#This Row],[unds x paca]]</f>
        <v>0</v>
      </c>
    </row>
    <row r="52" spans="1:6" x14ac:dyDescent="0.25">
      <c r="A52" s="18" t="s">
        <v>53</v>
      </c>
      <c r="B52" s="18">
        <v>6</v>
      </c>
      <c r="C52" s="3">
        <v>12</v>
      </c>
      <c r="D52" s="33">
        <v>6</v>
      </c>
      <c r="E52" s="21">
        <v>0</v>
      </c>
      <c r="F52" s="21">
        <f>+inventario[[#This Row],[precio]]*inventario[[#This Row],[unds x paca]]</f>
        <v>0</v>
      </c>
    </row>
    <row r="53" spans="1:6" x14ac:dyDescent="0.25">
      <c r="A53" s="18" t="s">
        <v>54</v>
      </c>
      <c r="B53" s="18">
        <v>2</v>
      </c>
      <c r="C53" s="3">
        <v>40</v>
      </c>
      <c r="D53" s="33">
        <v>6</v>
      </c>
      <c r="E53" s="21">
        <v>4000</v>
      </c>
      <c r="F53" s="21">
        <f>+inventario[[#This Row],[precio]]*inventario[[#This Row],[unds x paca]]</f>
        <v>24000</v>
      </c>
    </row>
    <row r="54" spans="1:6" x14ac:dyDescent="0.25">
      <c r="A54" s="18" t="s">
        <v>55</v>
      </c>
      <c r="B54" s="18">
        <v>3</v>
      </c>
      <c r="C54" s="3">
        <v>13</v>
      </c>
      <c r="D54" s="33">
        <v>2</v>
      </c>
      <c r="E54" s="21">
        <v>4000</v>
      </c>
      <c r="F54" s="21">
        <f>+inventario[[#This Row],[precio]]*inventario[[#This Row],[unds x paca]]</f>
        <v>8000</v>
      </c>
    </row>
    <row r="55" spans="1:6" x14ac:dyDescent="0.25">
      <c r="A55" s="18" t="s">
        <v>56</v>
      </c>
      <c r="B55" s="18">
        <v>6</v>
      </c>
      <c r="C55" s="3">
        <v>40</v>
      </c>
      <c r="D55" s="33">
        <v>11</v>
      </c>
      <c r="E55" s="21">
        <v>4000</v>
      </c>
      <c r="F55" s="21">
        <f>+inventario[[#This Row],[precio]]*inventario[[#This Row],[unds x paca]]</f>
        <v>44000</v>
      </c>
    </row>
    <row r="56" spans="1:6" x14ac:dyDescent="0.25">
      <c r="A56" s="18" t="s">
        <v>57</v>
      </c>
      <c r="B56" s="18">
        <v>2</v>
      </c>
      <c r="C56" s="3">
        <v>18</v>
      </c>
      <c r="D56" s="33">
        <v>8</v>
      </c>
      <c r="E56" s="21">
        <v>4000</v>
      </c>
      <c r="F56" s="21">
        <f>+inventario[[#This Row],[precio]]*inventario[[#This Row],[unds x paca]]</f>
        <v>32000</v>
      </c>
    </row>
    <row r="57" spans="1:6" x14ac:dyDescent="0.25">
      <c r="A57" s="18" t="s">
        <v>58</v>
      </c>
      <c r="B57" s="18">
        <v>2</v>
      </c>
      <c r="C57" s="3">
        <v>31</v>
      </c>
      <c r="D57" s="33">
        <v>2</v>
      </c>
      <c r="E57" s="21">
        <v>6500</v>
      </c>
      <c r="F57" s="21">
        <f>+inventario[[#This Row],[precio]]*inventario[[#This Row],[unds x paca]]</f>
        <v>13000</v>
      </c>
    </row>
    <row r="58" spans="1:6" x14ac:dyDescent="0.25">
      <c r="A58" s="18" t="s">
        <v>59</v>
      </c>
      <c r="B58" s="18">
        <v>6</v>
      </c>
      <c r="C58" s="3">
        <v>32</v>
      </c>
      <c r="D58" s="33">
        <v>10</v>
      </c>
      <c r="E58" s="21">
        <v>6500</v>
      </c>
      <c r="F58" s="21">
        <f>+inventario[[#This Row],[precio]]*inventario[[#This Row],[unds x paca]]</f>
        <v>65000</v>
      </c>
    </row>
    <row r="59" spans="1:6" x14ac:dyDescent="0.25">
      <c r="A59" s="18" t="s">
        <v>60</v>
      </c>
      <c r="B59" s="18">
        <v>4</v>
      </c>
      <c r="C59" s="3">
        <v>33</v>
      </c>
      <c r="D59" s="33">
        <v>0</v>
      </c>
      <c r="E59" s="21">
        <v>6500</v>
      </c>
      <c r="F59" s="21">
        <f>+inventario[[#This Row],[precio]]*inventario[[#This Row],[unds x paca]]</f>
        <v>0</v>
      </c>
    </row>
    <row r="60" spans="1:6" x14ac:dyDescent="0.25">
      <c r="A60" s="18" t="s">
        <v>61</v>
      </c>
      <c r="B60" s="18">
        <v>5</v>
      </c>
      <c r="C60" s="3">
        <v>21</v>
      </c>
      <c r="D60" s="33">
        <v>11</v>
      </c>
      <c r="E60" s="21">
        <v>6500</v>
      </c>
      <c r="F60" s="21">
        <f>+inventario[[#This Row],[precio]]*inventario[[#This Row],[unds x paca]]</f>
        <v>71500</v>
      </c>
    </row>
    <row r="61" spans="1:6" x14ac:dyDescent="0.25">
      <c r="A61" s="18" t="s">
        <v>62</v>
      </c>
      <c r="B61" s="18">
        <v>3</v>
      </c>
      <c r="C61" s="3">
        <v>35</v>
      </c>
      <c r="D61" s="33">
        <v>7</v>
      </c>
      <c r="E61" s="21">
        <v>0</v>
      </c>
      <c r="F61" s="21">
        <f>+inventario[[#This Row],[precio]]*inventario[[#This Row],[unds x paca]]</f>
        <v>0</v>
      </c>
    </row>
    <row r="62" spans="1:6" x14ac:dyDescent="0.25">
      <c r="A62" s="18" t="s">
        <v>63</v>
      </c>
      <c r="B62" s="18">
        <v>0</v>
      </c>
      <c r="C62" s="3">
        <v>7</v>
      </c>
      <c r="D62" s="33">
        <v>12</v>
      </c>
      <c r="E62" s="21">
        <v>0</v>
      </c>
      <c r="F62" s="21">
        <f>+inventario[[#This Row],[precio]]*inventario[[#This Row],[unds x paca]]</f>
        <v>0</v>
      </c>
    </row>
    <row r="63" spans="1:6" x14ac:dyDescent="0.25">
      <c r="A63" s="18" t="s">
        <v>64</v>
      </c>
      <c r="B63" s="18">
        <v>4</v>
      </c>
      <c r="C63" s="3">
        <v>25</v>
      </c>
      <c r="D63" s="33">
        <v>1</v>
      </c>
      <c r="E63" s="21">
        <v>0</v>
      </c>
      <c r="F63" s="21">
        <f>+inventario[[#This Row],[precio]]*inventario[[#This Row],[unds x paca]]</f>
        <v>0</v>
      </c>
    </row>
    <row r="64" spans="1:6" x14ac:dyDescent="0.25">
      <c r="A64" s="18" t="s">
        <v>65</v>
      </c>
      <c r="B64" s="18">
        <v>5</v>
      </c>
      <c r="C64" s="3">
        <v>24</v>
      </c>
      <c r="D64" s="33">
        <v>1</v>
      </c>
      <c r="E64" s="21">
        <v>0</v>
      </c>
      <c r="F64" s="21">
        <f>+inventario[[#This Row],[precio]]*inventario[[#This Row],[unds x paca]]</f>
        <v>0</v>
      </c>
    </row>
    <row r="65" spans="1:6" x14ac:dyDescent="0.25">
      <c r="A65" s="19" t="s">
        <v>66</v>
      </c>
      <c r="B65" s="19">
        <v>2</v>
      </c>
      <c r="C65" s="3">
        <v>19</v>
      </c>
      <c r="D65" s="33">
        <v>2</v>
      </c>
      <c r="E65" s="23">
        <v>0</v>
      </c>
      <c r="F65" s="23">
        <f>+inventario[[#This Row],[precio]]*inventario[[#This Row],[unds x paca]]</f>
        <v>0</v>
      </c>
    </row>
    <row r="66" spans="1:6" x14ac:dyDescent="0.25">
      <c r="A66" s="18" t="s">
        <v>67</v>
      </c>
      <c r="B66" s="18">
        <v>3</v>
      </c>
      <c r="C66" s="3">
        <v>23</v>
      </c>
      <c r="D66" s="33">
        <v>5</v>
      </c>
      <c r="E66" s="23">
        <v>2500</v>
      </c>
      <c r="F66" s="23">
        <f>+inventario[[#This Row],[precio]]*inventario[[#This Row],[unds x paca]]</f>
        <v>12500</v>
      </c>
    </row>
    <row r="67" spans="1:6" x14ac:dyDescent="0.25">
      <c r="A67" s="18" t="s">
        <v>68</v>
      </c>
      <c r="B67" s="18">
        <v>4</v>
      </c>
      <c r="C67" s="3">
        <v>19</v>
      </c>
      <c r="D67" s="33">
        <v>1</v>
      </c>
      <c r="E67" s="23">
        <v>1300</v>
      </c>
      <c r="F67" s="23">
        <f>+inventario[[#This Row],[precio]]*inventario[[#This Row],[unds x paca]]</f>
        <v>1300</v>
      </c>
    </row>
    <row r="68" spans="1:6" x14ac:dyDescent="0.25">
      <c r="A68" s="18" t="s">
        <v>69</v>
      </c>
      <c r="B68" s="18">
        <v>4</v>
      </c>
      <c r="C68" s="3">
        <v>10</v>
      </c>
      <c r="D68" s="33">
        <v>10</v>
      </c>
      <c r="E68" s="23">
        <v>4000</v>
      </c>
      <c r="F68" s="23">
        <f>+inventario[[#This Row],[precio]]*inventario[[#This Row],[unds x paca]]</f>
        <v>40000</v>
      </c>
    </row>
    <row r="69" spans="1:6" x14ac:dyDescent="0.25">
      <c r="A69" s="18" t="s">
        <v>70</v>
      </c>
      <c r="B69" s="18">
        <v>3</v>
      </c>
      <c r="C69" s="3">
        <v>9</v>
      </c>
      <c r="D69" s="33">
        <v>5</v>
      </c>
      <c r="E69" s="23">
        <v>5500</v>
      </c>
      <c r="F69" s="23">
        <f>+inventario[[#This Row],[precio]]*inventario[[#This Row],[unds x paca]]</f>
        <v>27500</v>
      </c>
    </row>
    <row r="70" spans="1:6" x14ac:dyDescent="0.25">
      <c r="A70" s="18" t="s">
        <v>71</v>
      </c>
      <c r="B70" s="18">
        <v>4</v>
      </c>
      <c r="C70" s="3">
        <v>36</v>
      </c>
      <c r="D70" s="33">
        <v>0</v>
      </c>
      <c r="E70" s="23">
        <v>5500</v>
      </c>
      <c r="F70" s="23">
        <f>+inventario[[#This Row],[precio]]*inventario[[#This Row],[unds x paca]]</f>
        <v>0</v>
      </c>
    </row>
    <row r="71" spans="1:6" x14ac:dyDescent="0.25">
      <c r="A71" s="18" t="s">
        <v>72</v>
      </c>
      <c r="B71" s="18">
        <v>5</v>
      </c>
      <c r="C71" s="3">
        <v>33</v>
      </c>
      <c r="D71" s="33">
        <v>8</v>
      </c>
      <c r="E71" s="23">
        <v>1600</v>
      </c>
      <c r="F71" s="23">
        <f>+inventario[[#This Row],[precio]]*inventario[[#This Row],[unds x paca]]</f>
        <v>12800</v>
      </c>
    </row>
    <row r="72" spans="1:6" x14ac:dyDescent="0.25">
      <c r="A72" s="18" t="s">
        <v>73</v>
      </c>
      <c r="B72" s="18">
        <v>4</v>
      </c>
      <c r="C72" s="3">
        <v>23</v>
      </c>
      <c r="D72" s="33">
        <v>1</v>
      </c>
      <c r="E72" s="23">
        <v>1600</v>
      </c>
      <c r="F72" s="23">
        <f>+inventario[[#This Row],[precio]]*inventario[[#This Row],[unds x paca]]</f>
        <v>1600</v>
      </c>
    </row>
    <row r="73" spans="1:6" x14ac:dyDescent="0.25">
      <c r="A73" s="18" t="s">
        <v>74</v>
      </c>
      <c r="B73" s="18">
        <v>1</v>
      </c>
      <c r="C73" s="3">
        <v>15</v>
      </c>
      <c r="D73" s="33">
        <v>3</v>
      </c>
      <c r="E73" s="23">
        <v>2500</v>
      </c>
      <c r="F73" s="23">
        <f>+inventario[[#This Row],[precio]]*inventario[[#This Row],[unds x paca]]</f>
        <v>7500</v>
      </c>
    </row>
    <row r="74" spans="1:6" x14ac:dyDescent="0.25">
      <c r="A74" s="18" t="s">
        <v>75</v>
      </c>
      <c r="B74" s="18">
        <v>6</v>
      </c>
      <c r="C74" s="3">
        <v>7</v>
      </c>
      <c r="D74" s="33">
        <v>11</v>
      </c>
      <c r="E74" s="21">
        <v>2000</v>
      </c>
      <c r="F74" s="21">
        <f>+inventario[[#This Row],[precio]]*inventario[[#This Row],[unds x paca]]</f>
        <v>22000</v>
      </c>
    </row>
    <row r="75" spans="1:6" x14ac:dyDescent="0.25">
      <c r="A75" s="18" t="s">
        <v>76</v>
      </c>
      <c r="B75" s="18">
        <v>3</v>
      </c>
      <c r="C75" s="3">
        <v>9</v>
      </c>
      <c r="D75" s="33">
        <v>2</v>
      </c>
      <c r="E75" s="21">
        <v>1600</v>
      </c>
      <c r="F75" s="21">
        <f>+inventario[[#This Row],[precio]]*inventario[[#This Row],[unds x paca]]</f>
        <v>3200</v>
      </c>
    </row>
    <row r="76" spans="1:6" x14ac:dyDescent="0.25">
      <c r="A76" s="18" t="s">
        <v>77</v>
      </c>
      <c r="B76" s="18">
        <v>4</v>
      </c>
      <c r="C76" s="3">
        <v>19</v>
      </c>
      <c r="D76" s="33">
        <v>10</v>
      </c>
      <c r="E76" s="21">
        <v>1600</v>
      </c>
      <c r="F76" s="21">
        <f>+inventario[[#This Row],[precio]]*inventario[[#This Row],[unds x paca]]</f>
        <v>16000</v>
      </c>
    </row>
    <row r="77" spans="1:6" x14ac:dyDescent="0.25">
      <c r="A77" s="18" t="s">
        <v>78</v>
      </c>
      <c r="B77" s="18">
        <v>6</v>
      </c>
      <c r="C77" s="3">
        <v>14</v>
      </c>
      <c r="D77" s="33">
        <v>11</v>
      </c>
      <c r="E77" s="21">
        <v>1600</v>
      </c>
      <c r="F77" s="21">
        <f>+inventario[[#This Row],[precio]]*inventario[[#This Row],[unds x paca]]</f>
        <v>17600</v>
      </c>
    </row>
    <row r="78" spans="1:6" x14ac:dyDescent="0.25">
      <c r="A78" s="18" t="s">
        <v>79</v>
      </c>
      <c r="B78" s="18">
        <v>4</v>
      </c>
      <c r="C78" s="3">
        <v>19</v>
      </c>
      <c r="D78" s="33">
        <v>8</v>
      </c>
      <c r="E78" s="21">
        <v>2500</v>
      </c>
      <c r="F78" s="21">
        <f>+inventario[[#This Row],[precio]]*inventario[[#This Row],[unds x paca]]</f>
        <v>20000</v>
      </c>
    </row>
    <row r="79" spans="1:6" x14ac:dyDescent="0.25">
      <c r="A79" s="18" t="s">
        <v>80</v>
      </c>
      <c r="B79" s="18">
        <v>1</v>
      </c>
      <c r="C79" s="3">
        <v>17</v>
      </c>
      <c r="D79" s="33">
        <v>10</v>
      </c>
      <c r="E79" s="21">
        <v>3500</v>
      </c>
      <c r="F79" s="21">
        <f>+inventario[[#This Row],[precio]]*inventario[[#This Row],[unds x paca]]</f>
        <v>35000</v>
      </c>
    </row>
    <row r="80" spans="1:6" x14ac:dyDescent="0.25">
      <c r="A80" s="18" t="s">
        <v>81</v>
      </c>
      <c r="B80" s="18">
        <v>5</v>
      </c>
      <c r="C80" s="3">
        <v>25</v>
      </c>
      <c r="D80" s="33">
        <v>12</v>
      </c>
      <c r="E80" s="21">
        <v>11000</v>
      </c>
      <c r="F80" s="21">
        <f>+inventario[[#This Row],[precio]]*inventario[[#This Row],[unds x paca]]</f>
        <v>132000</v>
      </c>
    </row>
    <row r="81" spans="1:6" x14ac:dyDescent="0.25">
      <c r="A81" s="18" t="s">
        <v>82</v>
      </c>
      <c r="B81" s="18">
        <v>1</v>
      </c>
      <c r="C81" s="3">
        <v>28</v>
      </c>
      <c r="D81" s="33">
        <v>12</v>
      </c>
      <c r="E81" s="21">
        <v>11000</v>
      </c>
      <c r="F81" s="21">
        <f>+inventario[[#This Row],[precio]]*inventario[[#This Row],[unds x paca]]</f>
        <v>132000</v>
      </c>
    </row>
    <row r="82" spans="1:6" x14ac:dyDescent="0.25">
      <c r="A82" s="18" t="s">
        <v>83</v>
      </c>
      <c r="B82" s="18">
        <v>4</v>
      </c>
      <c r="C82" s="3">
        <v>22</v>
      </c>
      <c r="D82" s="33">
        <v>6</v>
      </c>
      <c r="E82" s="21">
        <v>11000</v>
      </c>
      <c r="F82" s="21">
        <f>+inventario[[#This Row],[precio]]*inventario[[#This Row],[unds x paca]]</f>
        <v>66000</v>
      </c>
    </row>
    <row r="83" spans="1:6" x14ac:dyDescent="0.25">
      <c r="A83" s="18" t="s">
        <v>84</v>
      </c>
      <c r="B83" s="18">
        <v>2</v>
      </c>
      <c r="C83" s="3">
        <v>20</v>
      </c>
      <c r="D83" s="33">
        <v>9</v>
      </c>
      <c r="E83" s="21">
        <v>5500</v>
      </c>
      <c r="F83" s="21">
        <f>+inventario[[#This Row],[precio]]*inventario[[#This Row],[unds x paca]]</f>
        <v>49500</v>
      </c>
    </row>
    <row r="84" spans="1:6" x14ac:dyDescent="0.25">
      <c r="A84" s="18" t="s">
        <v>85</v>
      </c>
      <c r="B84" s="18">
        <v>5</v>
      </c>
      <c r="C84" s="3">
        <v>18</v>
      </c>
      <c r="D84" s="33">
        <v>11</v>
      </c>
      <c r="E84" s="21">
        <v>5500</v>
      </c>
      <c r="F84" s="21">
        <f>+inventario[[#This Row],[precio]]*inventario[[#This Row],[unds x paca]]</f>
        <v>60500</v>
      </c>
    </row>
    <row r="85" spans="1:6" x14ac:dyDescent="0.25">
      <c r="A85" s="18" t="s">
        <v>86</v>
      </c>
      <c r="B85" s="18">
        <v>4</v>
      </c>
      <c r="C85" s="3">
        <v>9</v>
      </c>
      <c r="D85" s="33">
        <v>10</v>
      </c>
      <c r="E85" s="21">
        <v>5500</v>
      </c>
      <c r="F85" s="21">
        <f>+inventario[[#This Row],[precio]]*inventario[[#This Row],[unds x paca]]</f>
        <v>55000</v>
      </c>
    </row>
    <row r="86" spans="1:6" x14ac:dyDescent="0.25">
      <c r="A86" s="18" t="s">
        <v>87</v>
      </c>
      <c r="B86" s="18">
        <v>5</v>
      </c>
      <c r="C86" s="3">
        <v>23</v>
      </c>
      <c r="D86" s="33">
        <v>6</v>
      </c>
      <c r="E86" s="21">
        <v>9600</v>
      </c>
      <c r="F86" s="21">
        <f>+inventario[[#This Row],[precio]]*inventario[[#This Row],[unds x paca]]</f>
        <v>57600</v>
      </c>
    </row>
    <row r="87" spans="1:6" x14ac:dyDescent="0.25">
      <c r="A87" s="18" t="s">
        <v>88</v>
      </c>
      <c r="B87" s="18">
        <v>1</v>
      </c>
      <c r="C87" s="3">
        <v>32</v>
      </c>
      <c r="D87" s="33">
        <v>9</v>
      </c>
      <c r="E87" s="21">
        <v>4800</v>
      </c>
      <c r="F87" s="21">
        <f>+inventario[[#This Row],[precio]]*inventario[[#This Row],[unds x paca]]</f>
        <v>43200</v>
      </c>
    </row>
    <row r="88" spans="1:6" x14ac:dyDescent="0.25">
      <c r="A88" s="18" t="s">
        <v>89</v>
      </c>
      <c r="B88" s="18">
        <v>1</v>
      </c>
      <c r="C88" s="3">
        <v>20</v>
      </c>
      <c r="D88" s="33">
        <v>11</v>
      </c>
      <c r="E88" s="21">
        <v>7500</v>
      </c>
      <c r="F88" s="21">
        <f>+inventario[[#This Row],[precio]]*inventario[[#This Row],[unds x paca]]</f>
        <v>82500</v>
      </c>
    </row>
    <row r="89" spans="1:6" x14ac:dyDescent="0.25">
      <c r="A89" s="18" t="s">
        <v>90</v>
      </c>
      <c r="B89" s="18">
        <v>4</v>
      </c>
      <c r="C89" s="3">
        <v>9</v>
      </c>
      <c r="D89" s="33">
        <v>12</v>
      </c>
      <c r="E89" s="21">
        <v>4000</v>
      </c>
      <c r="F89" s="21">
        <f>+inventario[[#This Row],[precio]]*inventario[[#This Row],[unds x paca]]</f>
        <v>48000</v>
      </c>
    </row>
    <row r="90" spans="1:6" x14ac:dyDescent="0.25">
      <c r="A90" s="18" t="s">
        <v>91</v>
      </c>
      <c r="B90" s="18">
        <v>5</v>
      </c>
      <c r="C90" s="3">
        <v>12</v>
      </c>
      <c r="D90" s="33">
        <v>1</v>
      </c>
      <c r="E90" s="21">
        <v>7000</v>
      </c>
      <c r="F90" s="21">
        <f>+inventario[[#This Row],[precio]]*inventario[[#This Row],[unds x paca]]</f>
        <v>7000</v>
      </c>
    </row>
    <row r="91" spans="1:6" x14ac:dyDescent="0.25">
      <c r="A91" s="18" t="s">
        <v>92</v>
      </c>
      <c r="B91" s="18">
        <v>5</v>
      </c>
      <c r="C91" s="3">
        <v>12</v>
      </c>
      <c r="D91" s="33">
        <v>11</v>
      </c>
      <c r="E91" s="21">
        <v>3500</v>
      </c>
      <c r="F91" s="21">
        <f>+inventario[[#This Row],[precio]]*inventario[[#This Row],[unds x paca]]</f>
        <v>38500</v>
      </c>
    </row>
    <row r="92" spans="1:6" x14ac:dyDescent="0.25">
      <c r="A92" s="18" t="s">
        <v>93</v>
      </c>
      <c r="B92" s="18">
        <v>5</v>
      </c>
      <c r="C92" s="3">
        <v>21</v>
      </c>
      <c r="D92" s="33">
        <v>10</v>
      </c>
      <c r="E92" s="21">
        <v>0</v>
      </c>
      <c r="F92" s="21">
        <f>+inventario[[#This Row],[precio]]*inventario[[#This Row],[unds x paca]]</f>
        <v>0</v>
      </c>
    </row>
    <row r="93" spans="1:6" x14ac:dyDescent="0.25">
      <c r="A93" s="18" t="s">
        <v>94</v>
      </c>
      <c r="B93" s="18">
        <v>5</v>
      </c>
      <c r="C93" s="3">
        <v>25</v>
      </c>
      <c r="D93" s="33">
        <v>5</v>
      </c>
      <c r="E93" s="21">
        <v>6000</v>
      </c>
      <c r="F93" s="21">
        <f>+inventario[[#This Row],[precio]]*inventario[[#This Row],[unds x paca]]</f>
        <v>30000</v>
      </c>
    </row>
    <row r="94" spans="1:6" x14ac:dyDescent="0.25">
      <c r="A94" s="18" t="s">
        <v>95</v>
      </c>
      <c r="B94" s="18">
        <v>2</v>
      </c>
      <c r="C94" s="3">
        <v>16</v>
      </c>
      <c r="D94" s="33">
        <v>12</v>
      </c>
      <c r="E94" s="21">
        <v>2000</v>
      </c>
      <c r="F94" s="21">
        <f>+inventario[[#This Row],[precio]]*inventario[[#This Row],[unds x paca]]</f>
        <v>24000</v>
      </c>
    </row>
    <row r="95" spans="1:6" x14ac:dyDescent="0.25">
      <c r="A95" s="18" t="s">
        <v>95</v>
      </c>
      <c r="B95" s="18">
        <v>4</v>
      </c>
      <c r="C95" s="3">
        <v>14</v>
      </c>
      <c r="D95" s="33">
        <v>3</v>
      </c>
      <c r="E95" s="21">
        <v>2000</v>
      </c>
      <c r="F95" s="21">
        <f>+inventario[[#This Row],[precio]]*inventario[[#This Row],[unds x paca]]</f>
        <v>6000</v>
      </c>
    </row>
    <row r="96" spans="1:6" x14ac:dyDescent="0.25">
      <c r="A96" s="20" t="s">
        <v>96</v>
      </c>
      <c r="B96" s="18">
        <v>0</v>
      </c>
      <c r="C96" s="3">
        <v>12</v>
      </c>
      <c r="D96" s="33">
        <v>6</v>
      </c>
      <c r="E96" s="21">
        <v>16000</v>
      </c>
      <c r="F96" s="21">
        <f>+inventario[[#This Row],[precio]]*inventario[[#This Row],[unds x paca]]</f>
        <v>96000</v>
      </c>
    </row>
    <row r="97" spans="1:6" x14ac:dyDescent="0.25">
      <c r="A97" s="18" t="s">
        <v>97</v>
      </c>
      <c r="B97" s="18">
        <v>2</v>
      </c>
      <c r="C97" s="3">
        <v>18</v>
      </c>
      <c r="D97" s="33">
        <v>6</v>
      </c>
      <c r="E97" s="21">
        <v>18000</v>
      </c>
      <c r="F97" s="21">
        <f>+inventario[[#This Row],[precio]]*inventario[[#This Row],[unds x paca]]</f>
        <v>108000</v>
      </c>
    </row>
    <row r="98" spans="1:6" x14ac:dyDescent="0.25">
      <c r="A98" s="18" t="s">
        <v>98</v>
      </c>
      <c r="B98" s="18">
        <v>2</v>
      </c>
      <c r="C98" s="3">
        <v>17</v>
      </c>
      <c r="D98" s="33">
        <v>1</v>
      </c>
      <c r="E98" s="21">
        <v>0</v>
      </c>
      <c r="F98" s="21">
        <f>+inventario[[#This Row],[precio]]*inventario[[#This Row],[unds x paca]]</f>
        <v>0</v>
      </c>
    </row>
    <row r="99" spans="1:6" x14ac:dyDescent="0.25">
      <c r="A99" s="18" t="s">
        <v>99</v>
      </c>
      <c r="B99" s="18">
        <v>5</v>
      </c>
      <c r="C99" s="3">
        <v>12</v>
      </c>
      <c r="D99" s="33">
        <v>10</v>
      </c>
      <c r="E99" s="21">
        <v>19000</v>
      </c>
      <c r="F99" s="21">
        <f>+inventario[[#This Row],[precio]]*inventario[[#This Row],[unds x paca]]</f>
        <v>190000</v>
      </c>
    </row>
    <row r="100" spans="1:6" x14ac:dyDescent="0.25">
      <c r="A100" s="18" t="s">
        <v>100</v>
      </c>
      <c r="B100" s="18">
        <v>3</v>
      </c>
      <c r="C100" s="3">
        <v>40</v>
      </c>
      <c r="D100" s="33">
        <v>7</v>
      </c>
      <c r="E100" s="21">
        <v>20000</v>
      </c>
      <c r="F100" s="21">
        <f>+inventario[[#This Row],[precio]]*inventario[[#This Row],[unds x paca]]</f>
        <v>140000</v>
      </c>
    </row>
    <row r="101" spans="1:6" x14ac:dyDescent="0.25">
      <c r="A101" s="20" t="s">
        <v>101</v>
      </c>
      <c r="B101" s="18">
        <v>2</v>
      </c>
      <c r="C101" s="3">
        <v>7</v>
      </c>
      <c r="D101" s="33">
        <v>11</v>
      </c>
      <c r="E101" s="21">
        <v>23500</v>
      </c>
      <c r="F101" s="21">
        <f>+inventario[[#This Row],[precio]]*inventario[[#This Row],[unds x paca]]</f>
        <v>258500</v>
      </c>
    </row>
    <row r="102" spans="1:6" x14ac:dyDescent="0.25">
      <c r="A102" s="18" t="s">
        <v>102</v>
      </c>
      <c r="B102" s="18">
        <v>1</v>
      </c>
      <c r="C102" s="3">
        <v>27</v>
      </c>
      <c r="D102" s="33">
        <v>10</v>
      </c>
      <c r="E102" s="21">
        <v>23500</v>
      </c>
      <c r="F102" s="21">
        <f>+inventario[[#This Row],[precio]]*inventario[[#This Row],[unds x paca]]</f>
        <v>235000</v>
      </c>
    </row>
    <row r="103" spans="1:6" x14ac:dyDescent="0.25">
      <c r="A103" s="18" t="s">
        <v>103</v>
      </c>
      <c r="B103" s="18">
        <v>5</v>
      </c>
      <c r="C103" s="3">
        <v>22</v>
      </c>
      <c r="D103" s="33">
        <v>2</v>
      </c>
      <c r="E103" s="21">
        <v>21000</v>
      </c>
      <c r="F103" s="21">
        <f>+inventario[[#This Row],[precio]]*inventario[[#This Row],[unds x paca]]</f>
        <v>42000</v>
      </c>
    </row>
    <row r="104" spans="1:6" x14ac:dyDescent="0.25">
      <c r="A104" s="18" t="s">
        <v>104</v>
      </c>
      <c r="B104" s="18">
        <v>4</v>
      </c>
      <c r="C104" s="3">
        <v>38</v>
      </c>
      <c r="D104" s="33">
        <v>7</v>
      </c>
      <c r="E104" s="21">
        <v>24500</v>
      </c>
      <c r="F104" s="21">
        <f>+inventario[[#This Row],[precio]]*inventario[[#This Row],[unds x paca]]</f>
        <v>171500</v>
      </c>
    </row>
    <row r="105" spans="1:6" x14ac:dyDescent="0.25">
      <c r="A105" s="18" t="s">
        <v>105</v>
      </c>
      <c r="B105" s="18">
        <v>6</v>
      </c>
      <c r="C105" s="3">
        <v>25</v>
      </c>
      <c r="D105" s="33">
        <v>4</v>
      </c>
      <c r="E105" s="21">
        <v>22000</v>
      </c>
      <c r="F105" s="21">
        <f>+inventario[[#This Row],[precio]]*inventario[[#This Row],[unds x paca]]</f>
        <v>88000</v>
      </c>
    </row>
    <row r="106" spans="1:6" x14ac:dyDescent="0.25">
      <c r="A106" s="18" t="s">
        <v>106</v>
      </c>
      <c r="B106" s="18">
        <v>3</v>
      </c>
      <c r="C106" s="3">
        <v>16</v>
      </c>
      <c r="D106" s="33">
        <v>6</v>
      </c>
      <c r="E106" s="21">
        <v>28000</v>
      </c>
      <c r="F106" s="21">
        <f>+inventario[[#This Row],[precio]]*inventario[[#This Row],[unds x paca]]</f>
        <v>168000</v>
      </c>
    </row>
    <row r="107" spans="1:6" x14ac:dyDescent="0.25">
      <c r="A107" s="18" t="s">
        <v>107</v>
      </c>
      <c r="B107" s="18">
        <v>6</v>
      </c>
      <c r="C107" s="3">
        <v>40</v>
      </c>
      <c r="D107" s="33">
        <v>1</v>
      </c>
      <c r="E107" s="21">
        <v>24000</v>
      </c>
      <c r="F107" s="21">
        <f>+inventario[[#This Row],[precio]]*inventario[[#This Row],[unds x paca]]</f>
        <v>24000</v>
      </c>
    </row>
    <row r="108" spans="1:6" x14ac:dyDescent="0.25">
      <c r="A108" s="20" t="s">
        <v>108</v>
      </c>
      <c r="B108" s="18">
        <v>3</v>
      </c>
      <c r="C108" s="3">
        <v>14</v>
      </c>
      <c r="D108" s="33">
        <v>1</v>
      </c>
      <c r="E108" s="21">
        <v>42000</v>
      </c>
      <c r="F108" s="21">
        <f>+inventario[[#This Row],[precio]]*inventario[[#This Row],[unds x paca]]</f>
        <v>42000</v>
      </c>
    </row>
    <row r="109" spans="1:6" x14ac:dyDescent="0.25">
      <c r="A109" s="18" t="s">
        <v>109</v>
      </c>
      <c r="B109" s="18">
        <v>3</v>
      </c>
      <c r="C109" s="3">
        <v>35</v>
      </c>
      <c r="D109" s="33">
        <v>5</v>
      </c>
      <c r="E109" s="21">
        <v>44000</v>
      </c>
      <c r="F109" s="21">
        <f>+inventario[[#This Row],[precio]]*inventario[[#This Row],[unds x paca]]</f>
        <v>220000</v>
      </c>
    </row>
    <row r="110" spans="1:6" x14ac:dyDescent="0.25">
      <c r="A110" s="18" t="s">
        <v>110</v>
      </c>
      <c r="B110" s="18">
        <v>2</v>
      </c>
      <c r="C110" s="3">
        <v>39</v>
      </c>
      <c r="D110" s="33">
        <v>7</v>
      </c>
      <c r="E110" s="21">
        <v>0</v>
      </c>
      <c r="F110" s="21">
        <f>+inventario[[#This Row],[precio]]*inventario[[#This Row],[unds x paca]]</f>
        <v>0</v>
      </c>
    </row>
    <row r="111" spans="1:6" x14ac:dyDescent="0.25">
      <c r="A111" s="18" t="s">
        <v>111</v>
      </c>
      <c r="B111" s="18">
        <v>4</v>
      </c>
      <c r="C111" s="3">
        <v>21</v>
      </c>
      <c r="D111" s="33">
        <v>10</v>
      </c>
      <c r="E111" s="21">
        <v>46000</v>
      </c>
      <c r="F111" s="21">
        <f>+inventario[[#This Row],[precio]]*inventario[[#This Row],[unds x paca]]</f>
        <v>460000</v>
      </c>
    </row>
    <row r="112" spans="1:6" x14ac:dyDescent="0.25">
      <c r="A112" s="18" t="s">
        <v>112</v>
      </c>
      <c r="B112" s="18">
        <v>2</v>
      </c>
      <c r="C112" s="3">
        <v>25</v>
      </c>
      <c r="D112" s="33">
        <v>6</v>
      </c>
      <c r="E112" s="21">
        <v>49000</v>
      </c>
      <c r="F112" s="21">
        <f>+inventario[[#This Row],[precio]]*inventario[[#This Row],[unds x paca]]</f>
        <v>294000</v>
      </c>
    </row>
    <row r="113" spans="1:6" x14ac:dyDescent="0.25">
      <c r="A113" s="20" t="s">
        <v>113</v>
      </c>
      <c r="B113" s="18">
        <v>1</v>
      </c>
      <c r="C113" s="3">
        <v>21</v>
      </c>
      <c r="D113" s="33">
        <v>11</v>
      </c>
      <c r="E113" s="21">
        <v>46000</v>
      </c>
      <c r="F113" s="21">
        <f>+inventario[[#This Row],[precio]]*inventario[[#This Row],[unds x paca]]</f>
        <v>506000</v>
      </c>
    </row>
    <row r="114" spans="1:6" x14ac:dyDescent="0.25">
      <c r="A114" s="18" t="s">
        <v>114</v>
      </c>
      <c r="B114" s="18">
        <v>2</v>
      </c>
      <c r="C114" s="3">
        <v>32</v>
      </c>
      <c r="D114" s="33">
        <v>9</v>
      </c>
      <c r="E114" s="21">
        <v>49000</v>
      </c>
      <c r="F114" s="21">
        <f>+inventario[[#This Row],[precio]]*inventario[[#This Row],[unds x paca]]</f>
        <v>441000</v>
      </c>
    </row>
    <row r="115" spans="1:6" x14ac:dyDescent="0.25">
      <c r="A115" s="18" t="s">
        <v>115</v>
      </c>
      <c r="B115" s="18">
        <v>2</v>
      </c>
      <c r="C115" s="3">
        <v>33</v>
      </c>
      <c r="D115" s="33">
        <v>6</v>
      </c>
      <c r="E115" s="21">
        <v>41000</v>
      </c>
      <c r="F115" s="21">
        <f>+inventario[[#This Row],[precio]]*inventario[[#This Row],[unds x paca]]</f>
        <v>246000</v>
      </c>
    </row>
    <row r="116" spans="1:6" x14ac:dyDescent="0.25">
      <c r="A116" s="18" t="s">
        <v>116</v>
      </c>
      <c r="B116" s="18">
        <v>6</v>
      </c>
      <c r="C116" s="3">
        <v>35</v>
      </c>
      <c r="D116" s="33">
        <v>9</v>
      </c>
      <c r="E116" s="21">
        <v>55000</v>
      </c>
      <c r="F116" s="21">
        <f>+inventario[[#This Row],[precio]]*inventario[[#This Row],[unds x paca]]</f>
        <v>495000</v>
      </c>
    </row>
    <row r="117" spans="1:6" x14ac:dyDescent="0.25">
      <c r="A117" s="18" t="s">
        <v>117</v>
      </c>
      <c r="B117" s="18">
        <v>4</v>
      </c>
      <c r="C117" s="3">
        <v>7</v>
      </c>
      <c r="D117" s="33">
        <v>5</v>
      </c>
      <c r="E117" s="21">
        <v>58000</v>
      </c>
      <c r="F117" s="21">
        <f>+inventario[[#This Row],[precio]]*inventario[[#This Row],[unds x paca]]</f>
        <v>290000</v>
      </c>
    </row>
    <row r="118" spans="1:6" x14ac:dyDescent="0.25">
      <c r="A118" s="20" t="s">
        <v>118</v>
      </c>
      <c r="B118" s="18">
        <v>4</v>
      </c>
      <c r="C118" s="3">
        <v>9</v>
      </c>
      <c r="D118" s="33">
        <v>2</v>
      </c>
      <c r="E118" s="21">
        <v>97000</v>
      </c>
      <c r="F118" s="21">
        <f>+inventario[[#This Row],[precio]]*inventario[[#This Row],[unds x paca]]</f>
        <v>194000</v>
      </c>
    </row>
    <row r="119" spans="1:6" x14ac:dyDescent="0.25">
      <c r="A119" s="18" t="s">
        <v>119</v>
      </c>
      <c r="B119" s="18">
        <v>1</v>
      </c>
      <c r="C119" s="3">
        <v>27</v>
      </c>
      <c r="D119" s="33">
        <v>9</v>
      </c>
      <c r="E119" s="21">
        <v>0</v>
      </c>
      <c r="F119" s="21">
        <f>+inventario[[#This Row],[precio]]*inventario[[#This Row],[unds x paca]]</f>
        <v>0</v>
      </c>
    </row>
    <row r="120" spans="1:6" x14ac:dyDescent="0.25">
      <c r="A120" s="18" t="s">
        <v>120</v>
      </c>
      <c r="B120" s="18">
        <v>5</v>
      </c>
      <c r="C120" s="3">
        <v>35</v>
      </c>
      <c r="D120" s="33">
        <v>10</v>
      </c>
      <c r="E120" s="21">
        <v>0</v>
      </c>
      <c r="F120" s="21">
        <f>+inventario[[#This Row],[precio]]*inventario[[#This Row],[unds x paca]]</f>
        <v>0</v>
      </c>
    </row>
    <row r="121" spans="1:6" x14ac:dyDescent="0.25">
      <c r="A121" s="18" t="s">
        <v>121</v>
      </c>
      <c r="B121" s="18">
        <v>3</v>
      </c>
      <c r="C121" s="3">
        <v>16</v>
      </c>
      <c r="D121" s="33">
        <v>9</v>
      </c>
      <c r="E121" s="21">
        <v>106000</v>
      </c>
      <c r="F121" s="21">
        <f>+inventario[[#This Row],[precio]]*inventario[[#This Row],[unds x paca]]</f>
        <v>954000</v>
      </c>
    </row>
    <row r="122" spans="1:6" x14ac:dyDescent="0.25">
      <c r="A122" s="27" t="s">
        <v>122</v>
      </c>
      <c r="B122" s="27">
        <v>3</v>
      </c>
      <c r="C122" s="28">
        <v>16</v>
      </c>
      <c r="D122" s="31">
        <v>2</v>
      </c>
      <c r="E122" s="29">
        <v>106000</v>
      </c>
      <c r="F122" s="29">
        <f>+inventario[[#This Row],[precio]]*inventario[[#This Row],[unds x paca]]</f>
        <v>212000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2"/>
  <sheetViews>
    <sheetView tabSelected="1" workbookViewId="0">
      <selection activeCell="E22" sqref="E22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5" width="20" customWidth="1"/>
    <col min="6" max="6" width="9.42578125" bestFit="1" customWidth="1"/>
  </cols>
  <sheetData>
    <row r="1" spans="1:6" x14ac:dyDescent="0.25">
      <c r="A1" t="s">
        <v>145</v>
      </c>
      <c r="B1" t="s">
        <v>143</v>
      </c>
      <c r="C1" t="s">
        <v>149</v>
      </c>
      <c r="D1" t="s">
        <v>146</v>
      </c>
      <c r="E1" t="s">
        <v>157</v>
      </c>
      <c r="F1" t="s">
        <v>144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F2"/>
  <sheetViews>
    <sheetView workbookViewId="0">
      <selection activeCell="A16" sqref="A2:XFD16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3" width="38.7109375" bestFit="1" customWidth="1"/>
    <col min="4" max="4" width="11" bestFit="1" customWidth="1"/>
    <col min="5" max="5" width="14.85546875" bestFit="1" customWidth="1"/>
    <col min="6" max="6" width="9.5703125" bestFit="1" customWidth="1"/>
  </cols>
  <sheetData>
    <row r="1" spans="1:6" x14ac:dyDescent="0.25">
      <c r="A1" t="s">
        <v>145</v>
      </c>
      <c r="B1" t="s">
        <v>143</v>
      </c>
      <c r="C1" t="s">
        <v>147</v>
      </c>
      <c r="D1" t="s">
        <v>148</v>
      </c>
      <c r="E1" t="s">
        <v>158</v>
      </c>
      <c r="F1" t="s">
        <v>149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B30" sqref="B30"/>
    </sheetView>
  </sheetViews>
  <sheetFormatPr defaultColWidth="8.85546875" defaultRowHeight="15" x14ac:dyDescent="0.25"/>
  <cols>
    <col min="1" max="1" width="21.28515625" style="3" customWidth="1"/>
    <col min="2" max="2" width="40.42578125" style="3" customWidth="1"/>
    <col min="3" max="3" width="9.140625" style="11"/>
    <col min="4" max="4" width="12" style="15" bestFit="1" customWidth="1"/>
    <col min="5" max="5" width="13.140625" style="14" bestFit="1" customWidth="1"/>
    <col min="6" max="6" width="18.5703125" style="3" bestFit="1" customWidth="1"/>
    <col min="7" max="7" width="15.28515625" style="3" bestFit="1" customWidth="1"/>
  </cols>
  <sheetData>
    <row r="1" spans="1:7" ht="30" x14ac:dyDescent="0.25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25">
      <c r="A2" s="10"/>
      <c r="D2" s="4" t="str">
        <f>IF(ISNUMBER(MATCH(B2, inventario!$A$2:$A$1001)), _xlfn.XLOOKUP(B2,inventario!$A$2:$A$1001,inventario!$E$2:$E$1001), "")</f>
        <v/>
      </c>
      <c r="E2" s="4" t="str">
        <f>IF(ISNUMBER(MATCH(B2, inventario!$A$2:$A$1001)), C2*_xlfn.XLOOKUP(B2,inventario!$A$2:$A$1001,inventario!$E$2:$E$1001), "")</f>
        <v/>
      </c>
      <c r="F2" s="10"/>
    </row>
    <row r="3" spans="1:7" x14ac:dyDescent="0.25">
      <c r="A3" s="10"/>
      <c r="D3" s="4" t="str">
        <f>IF(ISNUMBER(MATCH(B3, inventario!$A$2:$A$1001)), _xlfn.XLOOKUP(B3,inventario!$A$2:$A$1001,inventario!$E$2:$E$1001), "")</f>
        <v/>
      </c>
      <c r="E3" s="4" t="str">
        <f>IF(ISNUMBER(MATCH(B3, inventario!$A$2:$A$1001)), C3*_xlfn.XLOOKUP(B3,inventario!$A$2:$A$1001,inventario!$E$2:$E$1001), "")</f>
        <v/>
      </c>
      <c r="F3" s="10"/>
    </row>
    <row r="4" spans="1:7" x14ac:dyDescent="0.25">
      <c r="A4" s="10"/>
      <c r="D4" s="4" t="str">
        <f>IF(ISNUMBER(MATCH(B4, inventario!$A$2:$A$1001)), _xlfn.XLOOKUP(B4,inventario!$A$2:$A$1001,inventario!$E$2:$E$1001), "")</f>
        <v/>
      </c>
      <c r="E4" s="4" t="str">
        <f>IF(ISNUMBER(MATCH(B4, inventario!$A$2:$A$1001)), C4*_xlfn.XLOOKUP(B4,inventario!$A$2:$A$1001,inventario!$E$2:$E$1001), "")</f>
        <v/>
      </c>
      <c r="F4" s="10"/>
    </row>
    <row r="5" spans="1:7" x14ac:dyDescent="0.25">
      <c r="A5" s="10"/>
      <c r="D5" s="4" t="str">
        <f>IF(ISNUMBER(MATCH(B5, inventario!$A$2:$A$1001)), _xlfn.XLOOKUP(B5,inventario!$A$2:$A$1001,inventario!$E$2:$E$1001), "")</f>
        <v/>
      </c>
      <c r="E5" s="4" t="str">
        <f>IF(ISNUMBER(MATCH(B5, inventario!$A$2:$A$1001)), C5*_xlfn.XLOOKUP(B5,inventario!$A$2:$A$1001,inventario!$E$2:$E$1001), "")</f>
        <v/>
      </c>
      <c r="F5" s="10"/>
    </row>
    <row r="6" spans="1:7" x14ac:dyDescent="0.25">
      <c r="A6" s="10"/>
      <c r="D6" s="4" t="str">
        <f>IF(ISNUMBER(MATCH(B6, inventario!$A$2:$A$1001)), _xlfn.XLOOKUP(B6,inventario!$A$2:$A$1001,inventario!$E$2:$E$1001), "")</f>
        <v/>
      </c>
      <c r="E6" s="4" t="str">
        <f>IF(ISNUMBER(MATCH(B6, inventario!$A$2:$A$1001)), C6*_xlfn.XLOOKUP(B6,inventario!$A$2:$A$1001,inventario!$E$2:$E$1001), "")</f>
        <v/>
      </c>
      <c r="F6" s="10"/>
    </row>
    <row r="7" spans="1:7" x14ac:dyDescent="0.25">
      <c r="A7" s="10"/>
      <c r="D7" s="4" t="str">
        <f>IF(ISNUMBER(MATCH(B7, inventario!$A$2:$A$1001)), _xlfn.XLOOKUP(B7,inventario!$A$2:$A$1001,inventario!$E$2:$E$1001), "")</f>
        <v/>
      </c>
      <c r="E7" s="4" t="str">
        <f>IF(ISNUMBER(MATCH(B7, inventario!$A$2:$A$1001)), C7*_xlfn.XLOOKUP(B7,inventario!$A$2:$A$1001,inventario!$E$2:$E$1001), "")</f>
        <v/>
      </c>
      <c r="F7" s="10"/>
    </row>
    <row r="8" spans="1:7" x14ac:dyDescent="0.25">
      <c r="A8" s="10"/>
      <c r="D8" s="4" t="str">
        <f>IF(ISNUMBER(MATCH(B8, inventario!$A$2:$A$1001)), _xlfn.XLOOKUP(B8,inventario!$A$2:$A$1001,inventario!$E$2:$E$1001), "")</f>
        <v/>
      </c>
      <c r="E8" s="4" t="str">
        <f>IF(ISNUMBER(MATCH(B8, inventario!$A$2:$A$1001)), C8*_xlfn.XLOOKUP(B8,inventario!$A$2:$A$1001,inventario!$E$2:$E$1001), "")</f>
        <v/>
      </c>
      <c r="F8" s="10"/>
    </row>
    <row r="9" spans="1:7" ht="14.25" customHeight="1" x14ac:dyDescent="0.25">
      <c r="A9" s="10"/>
      <c r="D9" s="4" t="str">
        <f>IF(ISNUMBER(MATCH(B9, inventario!$A$2:$A$1001)), _xlfn.XLOOKUP(B9,inventario!$A$2:$A$1001,inventario!$E$2:$E$1001), "")</f>
        <v/>
      </c>
      <c r="E9" s="4" t="str">
        <f>IF(ISNUMBER(MATCH(B9, inventario!$A$2:$A$1001)), C9*_xlfn.XLOOKUP(B9,inventario!$A$2:$A$1001,inventario!$E$2:$E$1001), "")</f>
        <v/>
      </c>
      <c r="F9" s="10"/>
    </row>
    <row r="10" spans="1:7" x14ac:dyDescent="0.25">
      <c r="A10" s="10"/>
      <c r="D10" s="4" t="str">
        <f>IF(ISNUMBER(MATCH(B10, inventario!$A$2:$A$1001)), _xlfn.XLOOKUP(B10,inventario!$A$2:$A$1001,inventario!$E$2:$E$1001), "")</f>
        <v/>
      </c>
      <c r="E10" s="4" t="str">
        <f>IF(ISNUMBER(MATCH(B10, inventario!$A$2:$A$1001)), C10*_xlfn.XLOOKUP(B10,inventario!$A$2:$A$1001,inventario!$E$2:$E$1001), "")</f>
        <v/>
      </c>
      <c r="F10" s="10"/>
    </row>
    <row r="11" spans="1:7" x14ac:dyDescent="0.25">
      <c r="A11" s="10"/>
      <c r="D11" s="4" t="str">
        <f>IF(ISNUMBER(MATCH(B11, inventario!$A$2:$A$1001)), _xlfn.XLOOKUP(B11,inventario!$A$2:$A$1001,inventario!$E$2:$E$1001), "")</f>
        <v/>
      </c>
      <c r="E11" s="4" t="str">
        <f>IF(ISNUMBER(MATCH(B11, inventario!$A$2:$A$1001)), C11*_xlfn.XLOOKUP(B11,inventario!$A$2:$A$1001,inventario!$E$2:$E$1001), "")</f>
        <v/>
      </c>
      <c r="F11" s="10"/>
    </row>
    <row r="12" spans="1:7" x14ac:dyDescent="0.25">
      <c r="A12" s="10"/>
      <c r="D12" s="4" t="str">
        <f>IF(ISNUMBER(MATCH(B12, inventario!$A$2:$A$1001)), _xlfn.XLOOKUP(B12,inventario!$A$2:$A$1001,inventario!$E$2:$E$1001), "")</f>
        <v/>
      </c>
      <c r="E12" s="4" t="str">
        <f>IF(ISNUMBER(MATCH(B12, inventario!$A$2:$A$1001)), C12*_xlfn.XLOOKUP(B12,inventario!$A$2:$A$1001,inventario!$E$2:$E$1001), "")</f>
        <v/>
      </c>
      <c r="F12" s="10"/>
    </row>
    <row r="13" spans="1:7" x14ac:dyDescent="0.25">
      <c r="A13" s="10"/>
      <c r="D13" s="4" t="str">
        <f>IF(ISNUMBER(MATCH(B13, inventario!$A$2:$A$1001)), _xlfn.XLOOKUP(B13,inventario!$A$2:$A$1001,inventario!$E$2:$E$1001), "")</f>
        <v/>
      </c>
      <c r="E13" s="4" t="str">
        <f>IF(ISNUMBER(MATCH(B13, inventario!$A$2:$A$1001)), C13*_xlfn.XLOOKUP(B13,inventario!$A$2:$A$1001,inventario!$E$2:$E$1001), "")</f>
        <v/>
      </c>
      <c r="F13" s="10"/>
    </row>
    <row r="14" spans="1:7" x14ac:dyDescent="0.25">
      <c r="A14" s="10"/>
      <c r="D14" s="4" t="str">
        <f>IF(ISNUMBER(MATCH(B14, inventario!$A$2:$A$1001)), _xlfn.XLOOKUP(B14,inventario!$A$2:$A$1001,inventario!$E$2:$E$1001), "")</f>
        <v/>
      </c>
      <c r="E14" s="4" t="str">
        <f>IF(ISNUMBER(MATCH(B14, inventario!$A$2:$A$1001)), C14*_xlfn.XLOOKUP(B14,inventario!$A$2:$A$1001,inventario!$E$2:$E$1001), "")</f>
        <v/>
      </c>
      <c r="F14" s="10"/>
    </row>
    <row r="15" spans="1:7" x14ac:dyDescent="0.25">
      <c r="A15" s="10"/>
      <c r="D15" s="4" t="str">
        <f>IF(ISNUMBER(MATCH(B15, inventario!$A$2:$A$1001)), _xlfn.XLOOKUP(B15,inventario!$A$2:$A$1001,inventario!$E$2:$E$1001), "")</f>
        <v/>
      </c>
      <c r="E15" s="4" t="str">
        <f>IF(ISNUMBER(MATCH(B15, inventario!$A$2:$A$1001)), C15*_xlfn.XLOOKUP(B15,inventario!$A$2:$A$1001,inventario!$E$2:$E$1001), "")</f>
        <v/>
      </c>
      <c r="F15" s="10"/>
    </row>
    <row r="16" spans="1:7" x14ac:dyDescent="0.25">
      <c r="A16" s="10"/>
      <c r="D16" s="4" t="str">
        <f>IF(ISNUMBER(MATCH(B16, inventario!$A$2:$A$1001)), _xlfn.XLOOKUP(B16,inventario!$A$2:$A$1001,inventario!$E$2:$E$1001), "")</f>
        <v/>
      </c>
      <c r="E16" s="4" t="str">
        <f>IF(ISNUMBER(MATCH(B16, inventario!$A$2:$A$1001)), C16*_xlfn.XLOOKUP(B16,inventario!$A$2:$A$1001,inventario!$E$2:$E$1001), "")</f>
        <v/>
      </c>
      <c r="F16" s="10"/>
    </row>
    <row r="17" spans="1:6" x14ac:dyDescent="0.25">
      <c r="A17" s="10"/>
      <c r="D17" s="4" t="str">
        <f>IF(ISNUMBER(MATCH(B17, inventario!$A$2:$A$1001)), _xlfn.XLOOKUP(B17,inventario!$A$2:$A$1001,inventario!$E$2:$E$1001), "")</f>
        <v/>
      </c>
      <c r="E17" s="4" t="str">
        <f>IF(ISNUMBER(MATCH(B17, inventario!$A$2:$A$1001)), C17*_xlfn.XLOOKUP(B17,inventario!$A$2:$A$1001,inventario!$E$2:$E$1001), "")</f>
        <v/>
      </c>
      <c r="F17" s="10"/>
    </row>
    <row r="18" spans="1:6" x14ac:dyDescent="0.25">
      <c r="A18" s="10"/>
      <c r="D18" s="4" t="str">
        <f>IF(ISNUMBER(MATCH(B18, inventario!$A$2:$A$1001)), _xlfn.XLOOKUP(B18,inventario!$A$2:$A$1001,inventario!$E$2:$E$1001), "")</f>
        <v/>
      </c>
      <c r="E18" s="4" t="str">
        <f>IF(ISNUMBER(MATCH(B18, inventario!$A$2:$A$1001)), C18*_xlfn.XLOOKUP(B18,inventario!$A$2:$A$1001,inventario!$E$2:$E$1001), "")</f>
        <v/>
      </c>
      <c r="F18" s="10"/>
    </row>
    <row r="19" spans="1:6" x14ac:dyDescent="0.25">
      <c r="A19" s="10"/>
      <c r="D19" s="4" t="str">
        <f>IF(ISNUMBER(MATCH(B19, inventario!$A$2:$A$1001)), _xlfn.XLOOKUP(B19,inventario!$A$2:$A$1001,inventario!$E$2:$E$1001), "")</f>
        <v/>
      </c>
      <c r="E19" s="4" t="str">
        <f>IF(ISNUMBER(MATCH(B19, inventario!$A$2:$A$1001)), C19*_xlfn.XLOOKUP(B19,inventario!$A$2:$A$1001,inventario!$E$2:$E$1001), "")</f>
        <v/>
      </c>
      <c r="F19" s="10"/>
    </row>
    <row r="20" spans="1:6" x14ac:dyDescent="0.25">
      <c r="A20" s="10"/>
      <c r="D20" s="4" t="str">
        <f>IF(ISNUMBER(MATCH(B20, inventario!$A$2:$A$1001)), _xlfn.XLOOKUP(B20,inventario!$A$2:$A$1001,inventario!$E$2:$E$1001), "")</f>
        <v/>
      </c>
      <c r="E20" s="4" t="str">
        <f>IF(ISNUMBER(MATCH(B20, inventario!$A$2:$A$1001)), C20*_xlfn.XLOOKUP(B20,inventario!$A$2:$A$1001,inventario!$E$2:$E$1001), "")</f>
        <v/>
      </c>
      <c r="F20" s="10"/>
    </row>
    <row r="21" spans="1:6" x14ac:dyDescent="0.25">
      <c r="A21" s="10"/>
      <c r="D21" s="4" t="str">
        <f>IF(ISNUMBER(MATCH(B21, inventario!$A$2:$A$1001)), _xlfn.XLOOKUP(B21,inventario!$A$2:$A$1001,inventario!$E$2:$E$1001), "")</f>
        <v/>
      </c>
      <c r="E21" s="4" t="str">
        <f>IF(ISNUMBER(MATCH(B21, inventario!$A$2:$A$1001)), C21*_xlfn.XLOOKUP(B21,inventario!$A$2:$A$1001,inventario!$E$2:$E$1001), "")</f>
        <v/>
      </c>
      <c r="F21" s="10"/>
    </row>
    <row r="22" spans="1:6" x14ac:dyDescent="0.25">
      <c r="A22" s="10"/>
      <c r="D22" s="4" t="str">
        <f>IF(ISNUMBER(MATCH(B22, inventario!$A$2:$A$1001)), _xlfn.XLOOKUP(B22,inventario!$A$2:$A$1001,inventario!$E$2:$E$1001), "")</f>
        <v/>
      </c>
      <c r="E22" s="4" t="str">
        <f>IF(ISNUMBER(MATCH(B22, inventario!$A$2:$A$1001)), C22*_xlfn.XLOOKUP(B22,inventario!$A$2:$A$1001,inventario!$E$2:$E$1001), "")</f>
        <v/>
      </c>
      <c r="F22" s="10"/>
    </row>
    <row r="23" spans="1:6" x14ac:dyDescent="0.25">
      <c r="D23" s="4"/>
      <c r="E23" s="4"/>
    </row>
    <row r="24" spans="1:6" x14ac:dyDescent="0.25">
      <c r="D24" s="4" t="str">
        <f>IF(ISNUMBER(MATCH(B24, inventario!$A$2:$A$1001)), _xlfn.XLOOKUP(B24,inventario!$A$2:$A$1001,inventario!$E$2:$E$1001), "")</f>
        <v/>
      </c>
      <c r="E24" s="4" t="str">
        <f>IF(ISNUMBER(MATCH(B24, inventario!$A$2:$A$1001)), C24*_xlfn.XLOOKUP(B24,inventario!$A$2:$A$1001,inventario!$E$2:$E$1001), "")</f>
        <v/>
      </c>
    </row>
    <row r="25" spans="1:6" x14ac:dyDescent="0.25">
      <c r="D25" s="4" t="str">
        <f>IF(ISNUMBER(MATCH(B25, inventario!$A$2:$A$1001)), _xlfn.XLOOKUP(B25,inventario!$A$2:$A$1001,inventario!$E$2:$E$1001), "")</f>
        <v/>
      </c>
      <c r="E25" s="4" t="str">
        <f>IF(ISNUMBER(MATCH(B25, inventario!$A$2:$A$1001)), C25*_xlfn.XLOOKUP(B25,inventario!$A$2:$A$1001,inventario!$E$2:$E$1001), "")</f>
        <v/>
      </c>
    </row>
    <row r="26" spans="1:6" x14ac:dyDescent="0.25">
      <c r="D26" s="4" t="str">
        <f>IF(ISNUMBER(MATCH(B26, inventario!$A$2:$A$1001)), _xlfn.XLOOKUP(B26,inventario!$A$2:$A$1001,inventario!$E$2:$E$1001), "")</f>
        <v/>
      </c>
      <c r="E26" s="4" t="str">
        <f>IF(ISNUMBER(MATCH(B26, inventario!$A$2:$A$1001)), C26*_xlfn.XLOOKUP(B26,inventario!$A$2:$A$1001,inventario!$E$2:$E$1001), "")</f>
        <v/>
      </c>
    </row>
    <row r="27" spans="1:6" x14ac:dyDescent="0.25">
      <c r="D27" s="4" t="str">
        <f>IF(ISNUMBER(MATCH(B27, inventario!$A$2:$A$1001)), _xlfn.XLOOKUP(B27,inventario!$A$2:$A$1001,inventario!$E$2:$E$1001), "")</f>
        <v/>
      </c>
      <c r="E27" s="4" t="str">
        <f>IF(ISNUMBER(MATCH(B27, inventario!$A$2:$A$1001)), C27*_xlfn.XLOOKUP(B27,inventario!$A$2:$A$1001,inventario!$E$2:$E$1001), "")</f>
        <v/>
      </c>
    </row>
    <row r="28" spans="1:6" x14ac:dyDescent="0.25">
      <c r="D28" s="4" t="str">
        <f>IF(ISNUMBER(MATCH(B28, inventario!$A$2:$A$1001)), _xlfn.XLOOKUP(B28,inventario!$A$2:$A$1001,inventario!$E$2:$E$1001), "")</f>
        <v/>
      </c>
      <c r="E28" s="4" t="str">
        <f>IF(ISNUMBER(MATCH(B28, inventario!$A$2:$A$1001)), C28*_xlfn.XLOOKUP(B28,inventario!$A$2:$A$1001,inventario!$E$2:$E$1001), "")</f>
        <v/>
      </c>
    </row>
    <row r="29" spans="1:6" x14ac:dyDescent="0.25">
      <c r="D29" s="4" t="str">
        <f>IF(ISNUMBER(MATCH(B29, inventario!$A$2:$A$1001)), _xlfn.XLOOKUP(B29,inventario!$A$2:$A$1001,inventario!$E$2:$E$1001), "")</f>
        <v/>
      </c>
      <c r="E29" s="4" t="str">
        <f>IF(ISNUMBER(MATCH(B29, inventario!$A$2:$A$1001)), C29*_xlfn.XLOOKUP(B29,inventario!$A$2:$A$1001,inventario!$E$2:$E$1001), "")</f>
        <v/>
      </c>
    </row>
    <row r="30" spans="1:6" x14ac:dyDescent="0.25">
      <c r="D30" s="4" t="str">
        <f>IF(ISNUMBER(MATCH(B30, inventario!$A$2:$A$1001)), _xlfn.XLOOKUP(B30,inventario!$A$2:$A$1001,inventario!$E$2:$E$1001), "")</f>
        <v/>
      </c>
      <c r="E30" s="4" t="str">
        <f>IF(ISNUMBER(MATCH(B30, inventario!$A$2:$A$1001)), C30*_xlfn.XLOOKUP(B30,inventario!$A$2:$A$1001,inventario!$E$2:$E$1001), "")</f>
        <v/>
      </c>
    </row>
    <row r="31" spans="1:6" x14ac:dyDescent="0.25">
      <c r="D31" s="4" t="str">
        <f>IF(ISNUMBER(MATCH(B31, inventario!$A$2:$A$1001)), _xlfn.XLOOKUP(B31,inventario!$A$2:$A$1001,inventario!$E$2:$E$1001), "")</f>
        <v/>
      </c>
      <c r="E31" s="4" t="str">
        <f>IF(ISNUMBER(MATCH(B31, inventario!$A$2:$A$1001)), C31*_xlfn.XLOOKUP(B31,inventario!$A$2:$A$1001,inventario!$E$2:$E$1001), "")</f>
        <v/>
      </c>
    </row>
    <row r="32" spans="1:6" x14ac:dyDescent="0.25">
      <c r="D32" s="4" t="str">
        <f>IF(ISNUMBER(MATCH(B32, inventario!$A$2:$A$1001)), _xlfn.XLOOKUP(B32,inventario!$A$2:$A$1001,inventario!$E$2:$E$1001), "")</f>
        <v/>
      </c>
      <c r="E32" s="4" t="str">
        <f>IF(ISNUMBER(MATCH(B32, inventario!$A$2:$A$1001)), C32*_xlfn.XLOOKUP(B32,inventario!$A$2:$A$1001,inventario!$E$2:$E$1001), "")</f>
        <v/>
      </c>
    </row>
    <row r="33" spans="4:5" x14ac:dyDescent="0.25">
      <c r="D33" s="4" t="str">
        <f>IF(ISNUMBER(MATCH(B33, inventario!$A$2:$A$1001)), _xlfn.XLOOKUP(B33,inventario!$A$2:$A$1001,inventario!$E$2:$E$1001), "")</f>
        <v/>
      </c>
      <c r="E33" s="4" t="str">
        <f>IF(ISNUMBER(MATCH(B33, inventario!$A$2:$A$1001)), C33*_xlfn.XLOOKUP(B33,inventario!$A$2:$A$1001,inventario!$E$2:$E$1001), "")</f>
        <v/>
      </c>
    </row>
    <row r="34" spans="4:5" x14ac:dyDescent="0.25">
      <c r="D34" s="4" t="str">
        <f>IF(ISNUMBER(MATCH(B34, inventario!$A$2:$A$1001)), _xlfn.XLOOKUP(B34,inventario!$A$2:$A$1001,inventario!$E$2:$E$1001), "")</f>
        <v/>
      </c>
      <c r="E34" s="4" t="str">
        <f>IF(ISNUMBER(MATCH(B34, inventario!$A$2:$A$1001)), C34*_xlfn.XLOOKUP(B34,inventario!$A$2:$A$1001,inventario!$E$2:$E$1001), "")</f>
        <v/>
      </c>
    </row>
    <row r="35" spans="4:5" x14ac:dyDescent="0.25">
      <c r="D35" s="4" t="str">
        <f>IF(ISNUMBER(MATCH(B35, inventario!$A$2:$A$1001)), _xlfn.XLOOKUP(B35,inventario!$A$2:$A$1001,inventario!$E$2:$E$1001), "")</f>
        <v/>
      </c>
      <c r="E35" s="4" t="str">
        <f>IF(ISNUMBER(MATCH(B35, inventario!$A$2:$A$1001)), C35*_xlfn.XLOOKUP(B35,inventario!$A$2:$A$1001,inventario!$E$2:$E$1001), "")</f>
        <v/>
      </c>
    </row>
    <row r="36" spans="4:5" x14ac:dyDescent="0.25">
      <c r="D36" s="4" t="str">
        <f>IF(ISNUMBER(MATCH(B36, inventario!$A$2:$A$1001)), _xlfn.XLOOKUP(B36,inventario!$A$2:$A$1001,inventario!$E$2:$E$1001), "")</f>
        <v/>
      </c>
      <c r="E36" s="4" t="str">
        <f>IF(ISNUMBER(MATCH(B36, inventario!$A$2:$A$1001)), C36*_xlfn.XLOOKUP(B36,inventario!$A$2:$A$1001,inventario!$E$2:$E$1001), "")</f>
        <v/>
      </c>
    </row>
    <row r="37" spans="4:5" x14ac:dyDescent="0.25">
      <c r="D37" s="4" t="str">
        <f>IF(ISNUMBER(MATCH(B37, inventario!$A$2:$A$1001)), _xlfn.XLOOKUP(B37,inventario!$A$2:$A$1001,inventario!$E$2:$E$1001), "")</f>
        <v/>
      </c>
      <c r="E37" s="4" t="str">
        <f>IF(ISNUMBER(MATCH(B37, inventario!$A$2:$A$1001)), C37*_xlfn.XLOOKUP(B37,inventario!$A$2:$A$1001,inventario!$E$2:$E$1001), "")</f>
        <v/>
      </c>
    </row>
    <row r="38" spans="4:5" x14ac:dyDescent="0.25">
      <c r="D38" s="4" t="str">
        <f>IF(ISNUMBER(MATCH(B38, inventario!$A$2:$A$1001)), _xlfn.XLOOKUP(B38,inventario!$A$2:$A$1001,inventario!$E$2:$E$1001), "")</f>
        <v/>
      </c>
      <c r="E38" s="4" t="str">
        <f>IF(ISNUMBER(MATCH(B38, inventario!$A$2:$A$1001)), C38*_xlfn.XLOOKUP(B38,inventario!$A$2:$A$1001,inventario!$E$2:$E$1001), "")</f>
        <v/>
      </c>
    </row>
    <row r="39" spans="4:5" x14ac:dyDescent="0.25">
      <c r="D39" s="4" t="str">
        <f>IF(ISNUMBER(MATCH(B39, inventario!$A$2:$A$1001)), _xlfn.XLOOKUP(B39,inventario!$A$2:$A$1001,inventario!$E$2:$E$1001), "")</f>
        <v/>
      </c>
      <c r="E39" s="4" t="str">
        <f>IF(ISNUMBER(MATCH(B39, inventario!$A$2:$A$1001)), C39*_xlfn.XLOOKUP(B39,inventario!$A$2:$A$1001,inventario!$E$2:$E$1001), "")</f>
        <v/>
      </c>
    </row>
    <row r="40" spans="4:5" x14ac:dyDescent="0.25">
      <c r="D40" s="4" t="str">
        <f>IF(ISNUMBER(MATCH(B40, inventario!$A$2:$A$1001)), _xlfn.XLOOKUP(B40,inventario!$A$2:$A$1001,inventario!$E$2:$E$1001), "")</f>
        <v/>
      </c>
      <c r="E40" s="4" t="str">
        <f>IF(ISNUMBER(MATCH(B40, inventario!$A$2:$A$1001)), C40*_xlfn.XLOOKUP(B40,inventario!$A$2:$A$1001,inventario!$E$2:$E$1001), "")</f>
        <v/>
      </c>
    </row>
    <row r="41" spans="4:5" x14ac:dyDescent="0.25">
      <c r="D41" s="4" t="str">
        <f>IF(ISNUMBER(MATCH(B41, inventario!$A$2:$A$1001)), _xlfn.XLOOKUP(B41,inventario!$A$2:$A$1001,inventario!$E$2:$E$1001), "")</f>
        <v/>
      </c>
      <c r="E41" s="4" t="str">
        <f>IF(ISNUMBER(MATCH(B41, inventario!$A$2:$A$1001)), C41*_xlfn.XLOOKUP(B41,inventario!$A$2:$A$1001,inventario!$E$2:$E$1001), "")</f>
        <v/>
      </c>
    </row>
    <row r="42" spans="4:5" x14ac:dyDescent="0.25">
      <c r="D42" s="4" t="str">
        <f>IF(ISNUMBER(MATCH(B42, inventario!$A$2:$A$1001)), _xlfn.XLOOKUP(B42,inventario!$A$2:$A$1001,inventario!$E$2:$E$1001), "")</f>
        <v/>
      </c>
      <c r="E42" s="4" t="str">
        <f>IF(ISNUMBER(MATCH(B42, inventario!$A$2:$A$1001)), C42*_xlfn.XLOOKUP(B42,inventario!$A$2:$A$1001,inventario!$E$2:$E$1001), "")</f>
        <v/>
      </c>
    </row>
    <row r="43" spans="4:5" x14ac:dyDescent="0.25">
      <c r="D43" s="4" t="str">
        <f>IF(ISNUMBER(MATCH(B43, inventario!$A$2:$A$1001)), _xlfn.XLOOKUP(B43,inventario!$A$2:$A$1001,inventario!$E$2:$E$1001), "")</f>
        <v/>
      </c>
      <c r="E43" s="4" t="str">
        <f>IF(ISNUMBER(MATCH(B43, inventario!$A$2:$A$1001)), C43*_xlfn.XLOOKUP(B43,inventario!$A$2:$A$1001,inventario!$E$2:$E$1001), "")</f>
        <v/>
      </c>
    </row>
    <row r="44" spans="4:5" x14ac:dyDescent="0.25">
      <c r="D44" s="4" t="str">
        <f>IF(ISNUMBER(MATCH(B44, inventario!$A$2:$A$1001)), _xlfn.XLOOKUP(B44,inventario!$A$2:$A$1001,inventario!$E$2:$E$1001), "")</f>
        <v/>
      </c>
      <c r="E44" s="4" t="str">
        <f>IF(ISNUMBER(MATCH(B44, inventario!$A$2:$A$1001)), C44*_xlfn.XLOOKUP(B44,inventario!$A$2:$A$1001,inventario!$E$2:$E$1001), "")</f>
        <v/>
      </c>
    </row>
    <row r="45" spans="4:5" x14ac:dyDescent="0.25">
      <c r="D45" s="4" t="str">
        <f>IF(ISNUMBER(MATCH(B45, inventario!$A$2:$A$1001)), _xlfn.XLOOKUP(B45,inventario!$A$2:$A$1001,inventario!$E$2:$E$1001), "")</f>
        <v/>
      </c>
      <c r="E45" s="4" t="str">
        <f>IF(ISNUMBER(MATCH(B45, inventario!$A$2:$A$1001)), C45*_xlfn.XLOOKUP(B45,inventario!$A$2:$A$1001,inventario!$E$2:$E$1001), "")</f>
        <v/>
      </c>
    </row>
    <row r="46" spans="4:5" x14ac:dyDescent="0.25">
      <c r="D46" s="4" t="str">
        <f>IF(ISNUMBER(MATCH(B46, inventario!$A$2:$A$1001)), _xlfn.XLOOKUP(B46,inventario!$A$2:$A$1001,inventario!$E$2:$E$1001), "")</f>
        <v/>
      </c>
      <c r="E46" s="4" t="str">
        <f>IF(ISNUMBER(MATCH(B46, inventario!$A$2:$A$1001)), C46*_xlfn.XLOOKUP(B46,inventario!$A$2:$A$1001,inventario!$E$2:$E$1001), "")</f>
        <v/>
      </c>
    </row>
    <row r="47" spans="4:5" x14ac:dyDescent="0.25">
      <c r="D47" s="4" t="str">
        <f>IF(ISNUMBER(MATCH(B47, inventario!$A$2:$A$1001)), _xlfn.XLOOKUP(B47,inventario!$A$2:$A$1001,inventario!$E$2:$E$1001), "")</f>
        <v/>
      </c>
      <c r="E47" s="4" t="str">
        <f>IF(ISNUMBER(MATCH(B47, inventario!$A$2:$A$1001)), C47*_xlfn.XLOOKUP(B47,inventario!$A$2:$A$1001,inventario!$E$2:$E$1001), "")</f>
        <v/>
      </c>
    </row>
    <row r="48" spans="4:5" x14ac:dyDescent="0.25">
      <c r="D48" s="4" t="str">
        <f>IF(ISNUMBER(MATCH(B48, inventario!$A$2:$A$1001)), _xlfn.XLOOKUP(B48,inventario!$A$2:$A$1001,inventario!$E$2:$E$1001), "")</f>
        <v/>
      </c>
      <c r="E48" s="4" t="str">
        <f>IF(ISNUMBER(MATCH(B48, inventario!$A$2:$A$1001)), C48*_xlfn.XLOOKUP(B48,inventario!$A$2:$A$1001,inventario!$E$2:$E$1001), "")</f>
        <v/>
      </c>
    </row>
    <row r="49" spans="4:5" x14ac:dyDescent="0.25">
      <c r="D49" s="4" t="str">
        <f>IF(ISNUMBER(MATCH(B49, inventario!$A$2:$A$1001)), _xlfn.XLOOKUP(B49,inventario!$A$2:$A$1001,inventario!$E$2:$E$1001), "")</f>
        <v/>
      </c>
      <c r="E49" s="4" t="str">
        <f>IF(ISNUMBER(MATCH(B49, inventario!$A$2:$A$1001)), C49*_xlfn.XLOOKUP(B49,inventario!$A$2:$A$1001,inventario!$E$2:$E$1001), "")</f>
        <v/>
      </c>
    </row>
    <row r="50" spans="4:5" x14ac:dyDescent="0.25">
      <c r="D50" s="4" t="str">
        <f>IF(ISNUMBER(MATCH(B50, inventario!$A$2:$A$1001)), _xlfn.XLOOKUP(B50,inventario!$A$2:$A$1001,inventario!$E$2:$E$1001), "")</f>
        <v/>
      </c>
      <c r="E50" s="4" t="str">
        <f>IF(ISNUMBER(MATCH(B50, inventario!$A$2:$A$1001)), C50*_xlfn.XLOOKUP(B50,inventario!$A$2:$A$1001,inventario!$E$2:$E$1001), "")</f>
        <v/>
      </c>
    </row>
    <row r="51" spans="4:5" x14ac:dyDescent="0.25">
      <c r="D51" s="4" t="str">
        <f>IF(ISNUMBER(MATCH(B51, inventario!$A$2:$A$1001)), _xlfn.XLOOKUP(B51,inventario!$A$2:$A$1001,inventario!$E$2:$E$1001), "")</f>
        <v/>
      </c>
      <c r="E51" s="4" t="str">
        <f>IF(ISNUMBER(MATCH(B51, inventario!$A$2:$A$1001)), C51*_xlfn.XLOOKUP(B51,inventario!$A$2:$A$1001,inventario!$E$2:$E$1001), "")</f>
        <v/>
      </c>
    </row>
    <row r="52" spans="4:5" x14ac:dyDescent="0.25">
      <c r="D52" s="4" t="str">
        <f>IF(ISNUMBER(MATCH(B52, inventario!$A$2:$A$1001)), _xlfn.XLOOKUP(B52,inventario!$A$2:$A$1001,inventario!$E$2:$E$1001), "")</f>
        <v/>
      </c>
      <c r="E52" s="4" t="str">
        <f>IF(ISNUMBER(MATCH(B52, inventario!$A$2:$A$1001)), C52*_xlfn.XLOOKUP(B52,inventario!$A$2:$A$1001,inventario!$E$2:$E$1001), "")</f>
        <v/>
      </c>
    </row>
    <row r="53" spans="4:5" x14ac:dyDescent="0.25">
      <c r="D53" s="4" t="str">
        <f>IF(ISNUMBER(MATCH(B53, inventario!$A$2:$A$1001)), _xlfn.XLOOKUP(B53,inventario!$A$2:$A$1001,inventario!$E$2:$E$1001), "")</f>
        <v/>
      </c>
      <c r="E53" s="4" t="str">
        <f>IF(ISNUMBER(MATCH(B53, inventario!$A$2:$A$1001)), C53*_xlfn.XLOOKUP(B53,inventario!$A$2:$A$1001,inventario!$E$2:$E$1001), "")</f>
        <v/>
      </c>
    </row>
    <row r="54" spans="4:5" x14ac:dyDescent="0.25">
      <c r="D54" s="4" t="str">
        <f>IF(ISNUMBER(MATCH(B54, inventario!$A$2:$A$1001)), _xlfn.XLOOKUP(B54,inventario!$A$2:$A$1001,inventario!$E$2:$E$1001), "")</f>
        <v/>
      </c>
      <c r="E54" s="4" t="str">
        <f>IF(ISNUMBER(MATCH(B54, inventario!$A$2:$A$1001)), C54*_xlfn.XLOOKUP(B54,inventario!$A$2:$A$1001,inventario!$E$2:$E$1001), "")</f>
        <v/>
      </c>
    </row>
    <row r="55" spans="4:5" x14ac:dyDescent="0.25">
      <c r="D55" s="4" t="str">
        <f>IF(ISNUMBER(MATCH(B55, inventario!$A$2:$A$1001)), _xlfn.XLOOKUP(B55,inventario!$A$2:$A$1001,inventario!$E$2:$E$1001), "")</f>
        <v/>
      </c>
      <c r="E55" s="4" t="str">
        <f>IF(ISNUMBER(MATCH(B55, inventario!$A$2:$A$1001)), C55*_xlfn.XLOOKUP(B55,inventario!$A$2:$A$1001,inventario!$E$2:$E$1001), "")</f>
        <v/>
      </c>
    </row>
    <row r="56" spans="4:5" x14ac:dyDescent="0.25">
      <c r="D56" s="4" t="str">
        <f>IF(ISNUMBER(MATCH(B56, inventario!$A$2:$A$1001)), _xlfn.XLOOKUP(B56,inventario!$A$2:$A$1001,inventario!$E$2:$E$1001), "")</f>
        <v/>
      </c>
      <c r="E56" s="4" t="str">
        <f>IF(ISNUMBER(MATCH(B56, inventario!$A$2:$A$1001)), C56*_xlfn.XLOOKUP(B56,inventario!$A$2:$A$1001,inventario!$E$2:$E$1001), "")</f>
        <v/>
      </c>
    </row>
    <row r="57" spans="4:5" x14ac:dyDescent="0.25">
      <c r="D57" s="4" t="str">
        <f>IF(ISNUMBER(MATCH(B57, inventario!$A$2:$A$1001)), _xlfn.XLOOKUP(B57,inventario!$A$2:$A$1001,inventario!$E$2:$E$1001), "")</f>
        <v/>
      </c>
      <c r="E57" s="4" t="str">
        <f>IF(ISNUMBER(MATCH(B57, inventario!$A$2:$A$1001)), C57*_xlfn.XLOOKUP(B57,inventario!$A$2:$A$1001,inventario!$E$2:$E$1001), "")</f>
        <v/>
      </c>
    </row>
    <row r="58" spans="4:5" x14ac:dyDescent="0.25">
      <c r="D58" s="4" t="str">
        <f>IF(ISNUMBER(MATCH(B58, inventario!$A$2:$A$1001)), _xlfn.XLOOKUP(B58,inventario!$A$2:$A$1001,inventario!$E$2:$E$1001), "")</f>
        <v/>
      </c>
      <c r="E58" s="4" t="str">
        <f>IF(ISNUMBER(MATCH(B58, inventario!$A$2:$A$1001)), C58*_xlfn.XLOOKUP(B58,inventario!$A$2:$A$1001,inventario!$E$2:$E$1001), "")</f>
        <v/>
      </c>
    </row>
    <row r="59" spans="4:5" x14ac:dyDescent="0.25">
      <c r="D59" s="4" t="str">
        <f>IF(ISNUMBER(MATCH(B59, inventario!$A$2:$A$1001)), _xlfn.XLOOKUP(B59,inventario!$A$2:$A$1001,inventario!$E$2:$E$1001), "")</f>
        <v/>
      </c>
      <c r="E59" s="4" t="str">
        <f>IF(ISNUMBER(MATCH(B59, inventario!$A$2:$A$1001)), C59*_xlfn.XLOOKUP(B59,inventario!$A$2:$A$1001,inventario!$E$2:$E$1001), "")</f>
        <v/>
      </c>
    </row>
    <row r="60" spans="4:5" x14ac:dyDescent="0.25">
      <c r="D60" s="4" t="str">
        <f>IF(ISNUMBER(MATCH(B60, inventario!$A$2:$A$1001)), _xlfn.XLOOKUP(B60,inventario!$A$2:$A$1001,inventario!$E$2:$E$1001), "")</f>
        <v/>
      </c>
      <c r="E60" s="4" t="str">
        <f>IF(ISNUMBER(MATCH(B60, inventario!$A$2:$A$1001)), C60*_xlfn.XLOOKUP(B60,inventario!$A$2:$A$1001,inventario!$E$2:$E$1001), "")</f>
        <v/>
      </c>
    </row>
    <row r="61" spans="4:5" x14ac:dyDescent="0.25">
      <c r="D61" s="4" t="str">
        <f>IF(ISNUMBER(MATCH(B61, inventario!$A$2:$A$1001)), _xlfn.XLOOKUP(B61,inventario!$A$2:$A$1001,inventario!$E$2:$E$1001), "")</f>
        <v/>
      </c>
      <c r="E61" s="4" t="str">
        <f>IF(ISNUMBER(MATCH(B61, inventario!$A$2:$A$1001)), C61*_xlfn.XLOOKUP(B61,inventario!$A$2:$A$1001,inventario!$E$2:$E$1001), "")</f>
        <v/>
      </c>
    </row>
    <row r="62" spans="4:5" x14ac:dyDescent="0.25">
      <c r="D62" s="4" t="str">
        <f>IF(ISNUMBER(MATCH(B62, inventario!$A$2:$A$1001)), _xlfn.XLOOKUP(B62,inventario!$A$2:$A$1001,inventario!$E$2:$E$1001), "")</f>
        <v/>
      </c>
      <c r="E62" s="4" t="str">
        <f>IF(ISNUMBER(MATCH(B62, inventario!$A$2:$A$1001)), C62*_xlfn.XLOOKUP(B62,inventario!$A$2:$A$1001,inventario!$E$2:$E$1001), "")</f>
        <v/>
      </c>
    </row>
    <row r="63" spans="4:5" x14ac:dyDescent="0.25">
      <c r="D63" s="4" t="str">
        <f>IF(ISNUMBER(MATCH(B63, inventario!$A$2:$A$1001)), _xlfn.XLOOKUP(B63,inventario!$A$2:$A$1001,inventario!$E$2:$E$1001), "")</f>
        <v/>
      </c>
      <c r="E63" s="4" t="str">
        <f>IF(ISNUMBER(MATCH(B63, inventario!$A$2:$A$1001)), C63*_xlfn.XLOOKUP(B63,inventario!$A$2:$A$1001,inventario!$E$2:$E$1001), "")</f>
        <v/>
      </c>
    </row>
    <row r="64" spans="4:5" x14ac:dyDescent="0.25">
      <c r="D64" s="4" t="str">
        <f>IF(ISNUMBER(MATCH(B64, inventario!$A$2:$A$1001)), _xlfn.XLOOKUP(B64,inventario!$A$2:$A$1001,inventario!$E$2:$E$1001), "")</f>
        <v/>
      </c>
      <c r="E64" s="4" t="str">
        <f>IF(ISNUMBER(MATCH(B64, inventario!$A$2:$A$1001)), C64*_xlfn.XLOOKUP(B64,inventario!$A$2:$A$1001,inventario!$E$2:$E$1001), "")</f>
        <v/>
      </c>
    </row>
    <row r="65" spans="4:5" x14ac:dyDescent="0.25">
      <c r="D65" s="4" t="str">
        <f>IF(ISNUMBER(MATCH(B65, inventario!$A$2:$A$1001)), _xlfn.XLOOKUP(B65,inventario!$A$2:$A$1001,inventario!$E$2:$E$1001), "")</f>
        <v/>
      </c>
      <c r="E65" s="4" t="str">
        <f>IF(ISNUMBER(MATCH(B65, inventario!$A$2:$A$1001)), C65*_xlfn.XLOOKUP(B65,inventario!$A$2:$A$1001,inventario!$E$2:$E$1001), "")</f>
        <v/>
      </c>
    </row>
    <row r="66" spans="4:5" x14ac:dyDescent="0.25">
      <c r="D66" s="4" t="str">
        <f>IF(ISNUMBER(MATCH(B66, inventario!$A$2:$A$1001)), _xlfn.XLOOKUP(B66,inventario!$A$2:$A$1001,inventario!$E$2:$E$1001), "")</f>
        <v/>
      </c>
      <c r="E66" s="4" t="str">
        <f>IF(ISNUMBER(MATCH(B66, inventario!$A$2:$A$1001)), C66*_xlfn.XLOOKUP(B66,inventario!$A$2:$A$1001,inventario!$E$2:$E$1001), "")</f>
        <v/>
      </c>
    </row>
    <row r="67" spans="4:5" x14ac:dyDescent="0.25">
      <c r="D67" s="4" t="str">
        <f>IF(ISNUMBER(MATCH(B67, inventario!$A$2:$A$1001)), _xlfn.XLOOKUP(B67,inventario!$A$2:$A$1001,inventario!$E$2:$E$1001), "")</f>
        <v/>
      </c>
      <c r="E67" s="4" t="str">
        <f>IF(ISNUMBER(MATCH(B67, inventario!$A$2:$A$1001)), C67*_xlfn.XLOOKUP(B67,inventario!$A$2:$A$1001,inventario!$E$2:$E$1001), "")</f>
        <v/>
      </c>
    </row>
    <row r="68" spans="4:5" x14ac:dyDescent="0.25">
      <c r="D68" s="4" t="str">
        <f>IF(ISNUMBER(MATCH(B68, inventario!$A$2:$A$1001)), _xlfn.XLOOKUP(B68,inventario!$A$2:$A$1001,inventario!$E$2:$E$1001), "")</f>
        <v/>
      </c>
      <c r="E68" s="4" t="str">
        <f>IF(ISNUMBER(MATCH(B68, inventario!$A$2:$A$1001)), C68*_xlfn.XLOOKUP(B68,inventario!$A$2:$A$1001,inventario!$E$2:$E$1001), "")</f>
        <v/>
      </c>
    </row>
    <row r="69" spans="4:5" x14ac:dyDescent="0.25">
      <c r="D69" s="4" t="str">
        <f>IF(ISNUMBER(MATCH(B69, inventario!$A$2:$A$1001)), _xlfn.XLOOKUP(B69,inventario!$A$2:$A$1001,inventario!$E$2:$E$1001), "")</f>
        <v/>
      </c>
      <c r="E69" s="4" t="str">
        <f>IF(ISNUMBER(MATCH(B69, inventario!$A$2:$A$1001)), C69*_xlfn.XLOOKUP(B69,inventario!$A$2:$A$1001,inventario!$E$2:$E$1001), "")</f>
        <v/>
      </c>
    </row>
    <row r="70" spans="4:5" x14ac:dyDescent="0.25">
      <c r="D70" s="4" t="str">
        <f>IF(ISNUMBER(MATCH(B70, inventario!$A$2:$A$1001)), _xlfn.XLOOKUP(B70,inventario!$A$2:$A$1001,inventario!$E$2:$E$1001), "")</f>
        <v/>
      </c>
      <c r="E70" s="4" t="str">
        <f>IF(ISNUMBER(MATCH(B70, inventario!$A$2:$A$1001)), C70*_xlfn.XLOOKUP(B70,inventario!$A$2:$A$1001,inventario!$E$2:$E$1001), "")</f>
        <v/>
      </c>
    </row>
    <row r="71" spans="4:5" x14ac:dyDescent="0.25">
      <c r="D71" s="4" t="str">
        <f>IF(ISNUMBER(MATCH(B71, inventario!$A$2:$A$1001)), _xlfn.XLOOKUP(B71,inventario!$A$2:$A$1001,inventario!$E$2:$E$1001), "")</f>
        <v/>
      </c>
      <c r="E71" s="4" t="str">
        <f>IF(ISNUMBER(MATCH(B71, inventario!$A$2:$A$1001)), C71*_xlfn.XLOOKUP(B71,inventario!$A$2:$A$1001,inventario!$E$2:$E$1001), "")</f>
        <v/>
      </c>
    </row>
    <row r="72" spans="4:5" x14ac:dyDescent="0.25">
      <c r="D72" s="4" t="str">
        <f>IF(ISNUMBER(MATCH(B72, inventario!$A$2:$A$1001)), _xlfn.XLOOKUP(B72,inventario!$A$2:$A$1001,inventario!$E$2:$E$1001), "")</f>
        <v/>
      </c>
      <c r="E72" s="4" t="str">
        <f>IF(ISNUMBER(MATCH(B72, inventario!$A$2:$A$1001)), C72*_xlfn.XLOOKUP(B72,inventario!$A$2:$A$1001,inventario!$E$2:$E$1001), "")</f>
        <v/>
      </c>
    </row>
    <row r="73" spans="4:5" x14ac:dyDescent="0.25">
      <c r="D73" s="4" t="str">
        <f>IF(ISNUMBER(MATCH(B73, inventario!$A$2:$A$1001)), _xlfn.XLOOKUP(B73,inventario!$A$2:$A$1001,inventario!$E$2:$E$1001), "")</f>
        <v/>
      </c>
      <c r="E73" s="4" t="str">
        <f>IF(ISNUMBER(MATCH(B73, inventario!$A$2:$A$1001)), C73*_xlfn.XLOOKUP(B73,inventario!$A$2:$A$1001,inventario!$E$2:$E$1001), "")</f>
        <v/>
      </c>
    </row>
    <row r="74" spans="4:5" x14ac:dyDescent="0.25">
      <c r="D74" s="4" t="str">
        <f>IF(ISNUMBER(MATCH(B74, inventario!$A$2:$A$1001)), _xlfn.XLOOKUP(B74,inventario!$A$2:$A$1001,inventario!$E$2:$E$1001), "")</f>
        <v/>
      </c>
      <c r="E74" s="4" t="str">
        <f>IF(ISNUMBER(MATCH(B74, inventario!$A$2:$A$1001)), C74*_xlfn.XLOOKUP(B74,inventario!$A$2:$A$1001,inventario!$E$2:$E$1001), "")</f>
        <v/>
      </c>
    </row>
    <row r="75" spans="4:5" x14ac:dyDescent="0.25">
      <c r="D75" s="4" t="str">
        <f>IF(ISNUMBER(MATCH(B75, inventario!$A$2:$A$1001)), _xlfn.XLOOKUP(B75,inventario!$A$2:$A$1001,inventario!$E$2:$E$1001), "")</f>
        <v/>
      </c>
      <c r="E75" s="4" t="str">
        <f>IF(ISNUMBER(MATCH(B75, inventario!$A$2:$A$1001)), C75*_xlfn.XLOOKUP(B75,inventario!$A$2:$A$1001,inventario!$E$2:$E$1001), "")</f>
        <v/>
      </c>
    </row>
    <row r="76" spans="4:5" x14ac:dyDescent="0.25">
      <c r="D76" s="4" t="str">
        <f>IF(ISNUMBER(MATCH(B76, inventario!$A$2:$A$1001)), _xlfn.XLOOKUP(B76,inventario!$A$2:$A$1001,inventario!$E$2:$E$1001), "")</f>
        <v/>
      </c>
      <c r="E76" s="4" t="str">
        <f>IF(ISNUMBER(MATCH(B76, inventario!$A$2:$A$1001)), C76*_xlfn.XLOOKUP(B76,inventario!$A$2:$A$1001,inventario!$E$2:$E$1001), "")</f>
        <v/>
      </c>
    </row>
    <row r="77" spans="4:5" x14ac:dyDescent="0.25">
      <c r="D77" s="4" t="str">
        <f>IF(ISNUMBER(MATCH(B77, inventario!$A$2:$A$1001)), _xlfn.XLOOKUP(B77,inventario!$A$2:$A$1001,inventario!$E$2:$E$1001), "")</f>
        <v/>
      </c>
      <c r="E77" s="4" t="str">
        <f>IF(ISNUMBER(MATCH(B77, inventario!$A$2:$A$1001)), C77*_xlfn.XLOOKUP(B77,inventario!$A$2:$A$1001,inventario!$E$2:$E$1001), "")</f>
        <v/>
      </c>
    </row>
    <row r="78" spans="4:5" x14ac:dyDescent="0.25">
      <c r="D78" s="4" t="str">
        <f>IF(ISNUMBER(MATCH(B78, inventario!$A$2:$A$1001)), _xlfn.XLOOKUP(B78,inventario!$A$2:$A$1001,inventario!$E$2:$E$1001), "")</f>
        <v/>
      </c>
      <c r="E78" s="4" t="str">
        <f>IF(ISNUMBER(MATCH(B78, inventario!$A$2:$A$1001)), C78*_xlfn.XLOOKUP(B78,inventario!$A$2:$A$1001,inventario!$E$2:$E$1001), "")</f>
        <v/>
      </c>
    </row>
    <row r="79" spans="4:5" x14ac:dyDescent="0.25">
      <c r="D79" s="4" t="str">
        <f>IF(ISNUMBER(MATCH(B79, inventario!$A$2:$A$1001)), _xlfn.XLOOKUP(B79,inventario!$A$2:$A$1001,inventario!$E$2:$E$1001), "")</f>
        <v/>
      </c>
      <c r="E79" s="4" t="str">
        <f>IF(ISNUMBER(MATCH(B79, inventario!$A$2:$A$1001)), C79*_xlfn.XLOOKUP(B79,inventario!$A$2:$A$1001,inventario!$E$2:$E$1001), "")</f>
        <v/>
      </c>
    </row>
    <row r="80" spans="4:5" x14ac:dyDescent="0.25">
      <c r="D80" s="4" t="str">
        <f>IF(ISNUMBER(MATCH(B80, inventario!$A$2:$A$1001)), _xlfn.XLOOKUP(B80,inventario!$A$2:$A$1001,inventario!$E$2:$E$1001), "")</f>
        <v/>
      </c>
      <c r="E80" s="4" t="str">
        <f>IF(ISNUMBER(MATCH(B80, inventario!$A$2:$A$1001)), C80*_xlfn.XLOOKUP(B80,inventario!$A$2:$A$1001,inventario!$E$2:$E$1001), "")</f>
        <v/>
      </c>
    </row>
    <row r="81" spans="4:5" x14ac:dyDescent="0.25">
      <c r="D81" s="4" t="str">
        <f>IF(ISNUMBER(MATCH(B81, inventario!$A$2:$A$1001)), _xlfn.XLOOKUP(B81,inventario!$A$2:$A$1001,inventario!$E$2:$E$1001), "")</f>
        <v/>
      </c>
      <c r="E81" s="4" t="str">
        <f>IF(ISNUMBER(MATCH(B81, inventario!$A$2:$A$1001)), C81*_xlfn.XLOOKUP(B81,inventario!$A$2:$A$1001,inventario!$E$2:$E$1001), "")</f>
        <v/>
      </c>
    </row>
    <row r="82" spans="4:5" x14ac:dyDescent="0.25">
      <c r="D82" s="4" t="str">
        <f>IF(ISNUMBER(MATCH(B82, inventario!$A$2:$A$1001)), _xlfn.XLOOKUP(B82,inventario!$A$2:$A$1001,inventario!$E$2:$E$1001), "")</f>
        <v/>
      </c>
      <c r="E82" s="4" t="str">
        <f>IF(ISNUMBER(MATCH(B82, inventario!$A$2:$A$1001)), C82*_xlfn.XLOOKUP(B82,inventario!$A$2:$A$1001,inventario!$E$2:$E$1001), "")</f>
        <v/>
      </c>
    </row>
    <row r="83" spans="4:5" x14ac:dyDescent="0.25">
      <c r="D83" s="4" t="str">
        <f>IF(ISNUMBER(MATCH(B83, inventario!$A$2:$A$1001)), _xlfn.XLOOKUP(B83,inventario!$A$2:$A$1001,inventario!$E$2:$E$1001), "")</f>
        <v/>
      </c>
      <c r="E83" s="4" t="str">
        <f>IF(ISNUMBER(MATCH(B83, inventario!$A$2:$A$1001)), C83*_xlfn.XLOOKUP(B83,inventario!$A$2:$A$1001,inventario!$E$2:$E$1001), "")</f>
        <v/>
      </c>
    </row>
    <row r="84" spans="4:5" x14ac:dyDescent="0.25">
      <c r="D84" s="4" t="str">
        <f>IF(ISNUMBER(MATCH(B84, inventario!$A$2:$A$1001)), _xlfn.XLOOKUP(B84,inventario!$A$2:$A$1001,inventario!$E$2:$E$1001), "")</f>
        <v/>
      </c>
      <c r="E84" s="4" t="str">
        <f>IF(ISNUMBER(MATCH(B84, inventario!$A$2:$A$1001)), C84*_xlfn.XLOOKUP(B84,inventario!$A$2:$A$1001,inventario!$E$2:$E$1001), "")</f>
        <v/>
      </c>
    </row>
    <row r="85" spans="4:5" x14ac:dyDescent="0.25">
      <c r="D85" s="4" t="str">
        <f>IF(ISNUMBER(MATCH(B85, inventario!$A$2:$A$1001)), _xlfn.XLOOKUP(B85,inventario!$A$2:$A$1001,inventario!$E$2:$E$1001), "")</f>
        <v/>
      </c>
      <c r="E85" s="4" t="str">
        <f>IF(ISNUMBER(MATCH(B85, inventario!$A$2:$A$1001)), C85*_xlfn.XLOOKUP(B85,inventario!$A$2:$A$1001,inventario!$E$2:$E$1001), "")</f>
        <v/>
      </c>
    </row>
    <row r="86" spans="4:5" x14ac:dyDescent="0.25">
      <c r="D86" s="4" t="str">
        <f>IF(ISNUMBER(MATCH(B86, inventario!$A$2:$A$1001)), _xlfn.XLOOKUP(B86,inventario!$A$2:$A$1001,inventario!$E$2:$E$1001), "")</f>
        <v/>
      </c>
      <c r="E86" s="4" t="str">
        <f>IF(ISNUMBER(MATCH(B86, inventario!$A$2:$A$1001)), C86*_xlfn.XLOOKUP(B86,inventario!$A$2:$A$1001,inventario!$E$2:$E$1001), "")</f>
        <v/>
      </c>
    </row>
    <row r="87" spans="4:5" x14ac:dyDescent="0.25">
      <c r="D87" s="4" t="str">
        <f>IF(ISNUMBER(MATCH(B87, inventario!$A$2:$A$1001)), _xlfn.XLOOKUP(B87,inventario!$A$2:$A$1001,inventario!$E$2:$E$1001), "")</f>
        <v/>
      </c>
      <c r="E87" s="4" t="str">
        <f>IF(ISNUMBER(MATCH(B87, inventario!$A$2:$A$1001)), C87*_xlfn.XLOOKUP(B87,inventario!$A$2:$A$1001,inventario!$E$2:$E$1001), "")</f>
        <v/>
      </c>
    </row>
    <row r="88" spans="4:5" x14ac:dyDescent="0.25">
      <c r="D88" s="4" t="str">
        <f>IF(ISNUMBER(MATCH(B88, inventario!$A$2:$A$1001)), _xlfn.XLOOKUP(B88,inventario!$A$2:$A$1001,inventario!$E$2:$E$1001), "")</f>
        <v/>
      </c>
      <c r="E88" s="4" t="str">
        <f>IF(ISNUMBER(MATCH(B88, inventario!$A$2:$A$1001)), C88*_xlfn.XLOOKUP(B88,inventario!$A$2:$A$1001,inventario!$E$2:$E$1001), "")</f>
        <v/>
      </c>
    </row>
    <row r="89" spans="4:5" x14ac:dyDescent="0.25">
      <c r="D89" s="4" t="str">
        <f>IF(ISNUMBER(MATCH(B89, inventario!$A$2:$A$1001)), _xlfn.XLOOKUP(B89,inventario!$A$2:$A$1001,inventario!$E$2:$E$1001), "")</f>
        <v/>
      </c>
      <c r="E89" s="4" t="str">
        <f>IF(ISNUMBER(MATCH(B89, inventario!$A$2:$A$1001)), C89*_xlfn.XLOOKUP(B89,inventario!$A$2:$A$1001,inventario!$E$2:$E$1001), "")</f>
        <v/>
      </c>
    </row>
    <row r="90" spans="4:5" x14ac:dyDescent="0.25">
      <c r="D90" s="4" t="str">
        <f>IF(ISNUMBER(MATCH(B90, inventario!$A$2:$A$1001)), _xlfn.XLOOKUP(B90,inventario!$A$2:$A$1001,inventario!$E$2:$E$1001), "")</f>
        <v/>
      </c>
      <c r="E90" s="4" t="str">
        <f>IF(ISNUMBER(MATCH(B90, inventario!$A$2:$A$1001)), C90*_xlfn.XLOOKUP(B90,inventario!$A$2:$A$1001,inventario!$E$2:$E$1001), "")</f>
        <v/>
      </c>
    </row>
    <row r="91" spans="4:5" x14ac:dyDescent="0.25">
      <c r="D91" s="4" t="str">
        <f>IF(ISNUMBER(MATCH(B91, inventario!$A$2:$A$1001)), _xlfn.XLOOKUP(B91,inventario!$A$2:$A$1001,inventario!$E$2:$E$1001), "")</f>
        <v/>
      </c>
      <c r="E91" s="4" t="str">
        <f>IF(ISNUMBER(MATCH(B91, inventario!$A$2:$A$1001)), C91*_xlfn.XLOOKUP(B91,inventario!$A$2:$A$1001,inventario!$E$2:$E$1001), "")</f>
        <v/>
      </c>
    </row>
    <row r="92" spans="4:5" x14ac:dyDescent="0.25">
      <c r="D92" s="4" t="str">
        <f>IF(ISNUMBER(MATCH(B92, inventario!$A$2:$A$1001)), _xlfn.XLOOKUP(B92,inventario!$A$2:$A$1001,inventario!$E$2:$E$1001), "")</f>
        <v/>
      </c>
      <c r="E92" s="4" t="str">
        <f>IF(ISNUMBER(MATCH(B92, inventario!$A$2:$A$1001)), C92*_xlfn.XLOOKUP(B92,inventario!$A$2:$A$1001,inventario!$E$2:$E$1001), "")</f>
        <v/>
      </c>
    </row>
    <row r="93" spans="4:5" x14ac:dyDescent="0.25">
      <c r="D93" s="4" t="str">
        <f>IF(ISNUMBER(MATCH(B93, inventario!$A$2:$A$1001)), _xlfn.XLOOKUP(B93,inventario!$A$2:$A$1001,inventario!$E$2:$E$1001), "")</f>
        <v/>
      </c>
      <c r="E93" s="4" t="str">
        <f>IF(ISNUMBER(MATCH(B93, inventario!$A$2:$A$1001)), C93*_xlfn.XLOOKUP(B93,inventario!$A$2:$A$1001,inventario!$E$2:$E$1001), "")</f>
        <v/>
      </c>
    </row>
    <row r="94" spans="4:5" x14ac:dyDescent="0.25">
      <c r="D94" s="4" t="str">
        <f>IF(ISNUMBER(MATCH(B94, inventario!$A$2:$A$1001)), _xlfn.XLOOKUP(B94,inventario!$A$2:$A$1001,inventario!$E$2:$E$1001), "")</f>
        <v/>
      </c>
      <c r="E94" s="4" t="str">
        <f>IF(ISNUMBER(MATCH(B94, inventario!$A$2:$A$1001)), C94*_xlfn.XLOOKUP(B94,inventario!$A$2:$A$1001,inventario!$E$2:$E$1001), "")</f>
        <v/>
      </c>
    </row>
    <row r="95" spans="4:5" x14ac:dyDescent="0.25">
      <c r="D95" s="4" t="str">
        <f>IF(ISNUMBER(MATCH(B95, inventario!$A$2:$A$1001)), _xlfn.XLOOKUP(B95,inventario!$A$2:$A$1001,inventario!$E$2:$E$1001), "")</f>
        <v/>
      </c>
      <c r="E95" s="4" t="str">
        <f>IF(ISNUMBER(MATCH(B95, inventario!$A$2:$A$1001)), C95*_xlfn.XLOOKUP(B95,inventario!$A$2:$A$1001,inventario!$E$2:$E$1001), "")</f>
        <v/>
      </c>
    </row>
    <row r="96" spans="4:5" x14ac:dyDescent="0.25">
      <c r="D96" s="4" t="str">
        <f>IF(ISNUMBER(MATCH(B96, inventario!$A$2:$A$1001)), _xlfn.XLOOKUP(B96,inventario!$A$2:$A$1001,inventario!$E$2:$E$1001), "")</f>
        <v/>
      </c>
      <c r="E96" s="4" t="str">
        <f>IF(ISNUMBER(MATCH(B96, inventario!$A$2:$A$1001)), C96*_xlfn.XLOOKUP(B96,inventario!$A$2:$A$1001,inventario!$E$2:$E$1001), "")</f>
        <v/>
      </c>
    </row>
    <row r="97" spans="4:5" x14ac:dyDescent="0.25">
      <c r="D97" s="4" t="str">
        <f>IF(ISNUMBER(MATCH(B97, inventario!$A$2:$A$1001)), _xlfn.XLOOKUP(B97,inventario!$A$2:$A$1001,inventario!$E$2:$E$1001), "")</f>
        <v/>
      </c>
      <c r="E97" s="4" t="str">
        <f>IF(ISNUMBER(MATCH(B97, inventario!$A$2:$A$1001)), C97*_xlfn.XLOOKUP(B97,inventario!$A$2:$A$1001,inventario!$E$2:$E$1001), "")</f>
        <v/>
      </c>
    </row>
    <row r="98" spans="4:5" x14ac:dyDescent="0.25">
      <c r="D98" s="4" t="str">
        <f>IF(ISNUMBER(MATCH(B98, inventario!$A$2:$A$1001)), _xlfn.XLOOKUP(B98,inventario!$A$2:$A$1001,inventario!$E$2:$E$1001), "")</f>
        <v/>
      </c>
      <c r="E98" s="4" t="str">
        <f>IF(ISNUMBER(MATCH(B98, inventario!$A$2:$A$1001)), C98*_xlfn.XLOOKUP(B98,inventario!$A$2:$A$1001,inventario!$E$2:$E$1001), "")</f>
        <v/>
      </c>
    </row>
    <row r="99" spans="4:5" x14ac:dyDescent="0.25">
      <c r="D99" s="4" t="str">
        <f>IF(ISNUMBER(MATCH(B99, inventario!$A$2:$A$1001)), _xlfn.XLOOKUP(B99,inventario!$A$2:$A$1001,inventario!$E$2:$E$1001), "")</f>
        <v/>
      </c>
      <c r="E99" s="4" t="str">
        <f>IF(ISNUMBER(MATCH(B99, inventario!$A$2:$A$1001)), C99*_xlfn.XLOOKUP(B99,inventario!$A$2:$A$1001,inventario!$E$2:$E$1001), "")</f>
        <v/>
      </c>
    </row>
    <row r="100" spans="4:5" x14ac:dyDescent="0.25">
      <c r="D100" s="4" t="str">
        <f>IF(ISNUMBER(MATCH(B100, inventario!$A$2:$A$1001)), _xlfn.XLOOKUP(B100,inventario!$A$2:$A$1001,inventario!$E$2:$E$1001), "")</f>
        <v/>
      </c>
      <c r="E100" s="4" t="str">
        <f>IF(ISNUMBER(MATCH(B100, inventario!$A$2:$A$1001)), C100*_xlfn.XLOOKUP(B100,inventario!$A$2:$A$1001,inventario!$E$2:$E$1001), "")</f>
        <v/>
      </c>
    </row>
    <row r="101" spans="4:5" x14ac:dyDescent="0.25">
      <c r="D101" s="4" t="str">
        <f>IF(ISNUMBER(MATCH(B101, inventario!$A$2:$A$1001)), _xlfn.XLOOKUP(B101,inventario!$A$2:$A$1001,inventario!$E$2:$E$1001), "")</f>
        <v/>
      </c>
      <c r="E101" s="4" t="str">
        <f>IF(ISNUMBER(MATCH(B101, inventario!$A$2:$A$1001)), C101*_xlfn.XLOOKUP(B101,inventario!$A$2:$A$1001,inventario!$E$2:$E$1001), "")</f>
        <v/>
      </c>
    </row>
    <row r="102" spans="4:5" x14ac:dyDescent="0.25">
      <c r="D102" s="4" t="str">
        <f>IF(ISNUMBER(MATCH(B102, inventario!$A$2:$A$1001)), _xlfn.XLOOKUP(B102,inventario!$A$2:$A$1001,inventario!$E$2:$E$1001), "")</f>
        <v/>
      </c>
      <c r="E102" s="4" t="str">
        <f>IF(ISNUMBER(MATCH(B102, inventario!$A$2:$A$1001)), C102*_xlfn.XLOOKUP(B102,inventario!$A$2:$A$1001,inventario!$E$2:$E$1001), "")</f>
        <v/>
      </c>
    </row>
    <row r="103" spans="4:5" x14ac:dyDescent="0.25">
      <c r="D103" s="4" t="str">
        <f>IF(ISNUMBER(MATCH(B103, inventario!$A$2:$A$1001)), _xlfn.XLOOKUP(B103,inventario!$A$2:$A$1001,inventario!$E$2:$E$1001), "")</f>
        <v/>
      </c>
      <c r="E103" s="4" t="str">
        <f>IF(ISNUMBER(MATCH(B103, inventario!$A$2:$A$1001)), C103*_xlfn.XLOOKUP(B103,inventario!$A$2:$A$1001,inventario!$E$2:$E$1001), "")</f>
        <v/>
      </c>
    </row>
    <row r="104" spans="4:5" x14ac:dyDescent="0.25">
      <c r="D104" s="4" t="str">
        <f>IF(ISNUMBER(MATCH(B104, inventario!$A$2:$A$1001)), _xlfn.XLOOKUP(B104,inventario!$A$2:$A$1001,inventario!$E$2:$E$1001), "")</f>
        <v/>
      </c>
      <c r="E104" s="4" t="str">
        <f>IF(ISNUMBER(MATCH(B104, inventario!$A$2:$A$1001)), C104*_xlfn.XLOOKUP(B104,inventario!$A$2:$A$1001,inventario!$E$2:$E$1001), "")</f>
        <v/>
      </c>
    </row>
    <row r="105" spans="4:5" x14ac:dyDescent="0.25">
      <c r="D105" s="4" t="str">
        <f>IF(ISNUMBER(MATCH(B105, inventario!$A$2:$A$1001)), _xlfn.XLOOKUP(B105,inventario!$A$2:$A$1001,inventario!$E$2:$E$1001), "")</f>
        <v/>
      </c>
      <c r="E105" s="4" t="str">
        <f>IF(ISNUMBER(MATCH(B105, inventario!$A$2:$A$1001)), C105*_xlfn.XLOOKUP(B105,inventario!$A$2:$A$1001,inventario!$E$2:$E$1001), "")</f>
        <v/>
      </c>
    </row>
    <row r="106" spans="4:5" x14ac:dyDescent="0.25">
      <c r="D106" s="4" t="str">
        <f>IF(ISNUMBER(MATCH(B106, inventario!$A$2:$A$1001)), _xlfn.XLOOKUP(B106,inventario!$A$2:$A$1001,inventario!$E$2:$E$1001), "")</f>
        <v/>
      </c>
      <c r="E106" s="4" t="str">
        <f>IF(ISNUMBER(MATCH(B106, inventario!$A$2:$A$1001)), C106*_xlfn.XLOOKUP(B106,inventario!$A$2:$A$1001,inventario!$E$2:$E$1001), "")</f>
        <v/>
      </c>
    </row>
    <row r="107" spans="4:5" x14ac:dyDescent="0.25">
      <c r="D107" s="4" t="str">
        <f>IF(ISNUMBER(MATCH(B107, inventario!$A$2:$A$1001)), _xlfn.XLOOKUP(B107,inventario!$A$2:$A$1001,inventario!$E$2:$E$1001), "")</f>
        <v/>
      </c>
      <c r="E107" s="4" t="str">
        <f>IF(ISNUMBER(MATCH(B107, inventario!$A$2:$A$1001)), C107*_xlfn.XLOOKUP(B107,inventario!$A$2:$A$1001,inventario!$E$2:$E$1001), "")</f>
        <v/>
      </c>
    </row>
    <row r="108" spans="4:5" x14ac:dyDescent="0.25">
      <c r="D108" s="4" t="str">
        <f>IF(ISNUMBER(MATCH(B108, inventario!$A$2:$A$1001)), _xlfn.XLOOKUP(B108,inventario!$A$2:$A$1001,inventario!$E$2:$E$1001), "")</f>
        <v/>
      </c>
      <c r="E108" s="4" t="str">
        <f>IF(ISNUMBER(MATCH(B108, inventario!$A$2:$A$1001)), C108*_xlfn.XLOOKUP(B108,inventario!$A$2:$A$1001,inventario!$E$2:$E$1001), "")</f>
        <v/>
      </c>
    </row>
    <row r="109" spans="4:5" x14ac:dyDescent="0.25">
      <c r="D109" s="4" t="str">
        <f>IF(ISNUMBER(MATCH(B109, inventario!$A$2:$A$1001)), _xlfn.XLOOKUP(B109,inventario!$A$2:$A$1001,inventario!$E$2:$E$1001), "")</f>
        <v/>
      </c>
      <c r="E109" s="4" t="str">
        <f>IF(ISNUMBER(MATCH(B109, inventario!$A$2:$A$1001)), C109*_xlfn.XLOOKUP(B109,inventario!$A$2:$A$1001,inventario!$E$2:$E$1001), "")</f>
        <v/>
      </c>
    </row>
    <row r="110" spans="4:5" x14ac:dyDescent="0.25">
      <c r="D110" s="4" t="str">
        <f>IF(ISNUMBER(MATCH(B110, inventario!$A$2:$A$1001)), _xlfn.XLOOKUP(B110,inventario!$A$2:$A$1001,inventario!$E$2:$E$1001), "")</f>
        <v/>
      </c>
      <c r="E110" s="4" t="str">
        <f>IF(ISNUMBER(MATCH(B110, inventario!$A$2:$A$1001)), C110*_xlfn.XLOOKUP(B110,inventario!$A$2:$A$1001,inventario!$E$2:$E$1001), "")</f>
        <v/>
      </c>
    </row>
    <row r="111" spans="4:5" x14ac:dyDescent="0.25">
      <c r="D111" s="4" t="str">
        <f>IF(ISNUMBER(MATCH(B111, inventario!$A$2:$A$1001)), _xlfn.XLOOKUP(B111,inventario!$A$2:$A$1001,inventario!$E$2:$E$1001), "")</f>
        <v/>
      </c>
      <c r="E111" s="4" t="str">
        <f>IF(ISNUMBER(MATCH(B111, inventario!$A$2:$A$1001)), C111*_xlfn.XLOOKUP(B111,inventario!$A$2:$A$1001,inventario!$E$2:$E$1001), "")</f>
        <v/>
      </c>
    </row>
    <row r="112" spans="4:5" x14ac:dyDescent="0.25">
      <c r="D112" s="4" t="str">
        <f>IF(ISNUMBER(MATCH(B112, inventario!$A$2:$A$1001)), _xlfn.XLOOKUP(B112,inventario!$A$2:$A$1001,inventario!$E$2:$E$1001), "")</f>
        <v/>
      </c>
      <c r="E112" s="4" t="str">
        <f>IF(ISNUMBER(MATCH(B112, inventario!$A$2:$A$1001)), C112*_xlfn.XLOOKUP(B112,inventario!$A$2:$A$1001,inventario!$E$2:$E$1001), "")</f>
        <v/>
      </c>
    </row>
    <row r="113" spans="4:5" x14ac:dyDescent="0.25">
      <c r="D113" s="4" t="str">
        <f>IF(ISNUMBER(MATCH(B113, inventario!$A$2:$A$1001)), _xlfn.XLOOKUP(B113,inventario!$A$2:$A$1001,inventario!$E$2:$E$1001), "")</f>
        <v/>
      </c>
      <c r="E113" s="4" t="str">
        <f>IF(ISNUMBER(MATCH(B113, inventario!$A$2:$A$1001)), C113*_xlfn.XLOOKUP(B113,inventario!$A$2:$A$1001,inventario!$E$2:$E$1001), "")</f>
        <v/>
      </c>
    </row>
    <row r="114" spans="4:5" x14ac:dyDescent="0.25">
      <c r="D114" s="4" t="str">
        <f>IF(ISNUMBER(MATCH(B114, inventario!$A$2:$A$1001)), _xlfn.XLOOKUP(B114,inventario!$A$2:$A$1001,inventario!$E$2:$E$1001), "")</f>
        <v/>
      </c>
      <c r="E114" s="4" t="str">
        <f>IF(ISNUMBER(MATCH(B114, inventario!$A$2:$A$1001)), C114*_xlfn.XLOOKUP(B114,inventario!$A$2:$A$1001,inventario!$E$2:$E$1001), "")</f>
        <v/>
      </c>
    </row>
    <row r="115" spans="4:5" x14ac:dyDescent="0.25">
      <c r="D115" s="4" t="str">
        <f>IF(ISNUMBER(MATCH(B115, inventario!$A$2:$A$1001)), _xlfn.XLOOKUP(B115,inventario!$A$2:$A$1001,inventario!$E$2:$E$1001), "")</f>
        <v/>
      </c>
      <c r="E115" s="4" t="str">
        <f>IF(ISNUMBER(MATCH(B115, inventario!$A$2:$A$1001)), C115*_xlfn.XLOOKUP(B115,inventario!$A$2:$A$1001,inventario!$E$2:$E$1001), "")</f>
        <v/>
      </c>
    </row>
    <row r="116" spans="4:5" x14ac:dyDescent="0.25">
      <c r="D116" s="4" t="str">
        <f>IF(ISNUMBER(MATCH(B116, inventario!$A$2:$A$1001)), _xlfn.XLOOKUP(B116,inventario!$A$2:$A$1001,inventario!$E$2:$E$1001), "")</f>
        <v/>
      </c>
      <c r="E116" s="4" t="str">
        <f>IF(ISNUMBER(MATCH(B116, inventario!$A$2:$A$1001)), C116*_xlfn.XLOOKUP(B116,inventario!$A$2:$A$1001,inventario!$E$2:$E$1001), "")</f>
        <v/>
      </c>
    </row>
    <row r="117" spans="4:5" x14ac:dyDescent="0.25">
      <c r="D117" s="4" t="str">
        <f>IF(ISNUMBER(MATCH(B117, inventario!$A$2:$A$1001)), _xlfn.XLOOKUP(B117,inventario!$A$2:$A$1001,inventario!$E$2:$E$1001), "")</f>
        <v/>
      </c>
      <c r="E117" s="4" t="str">
        <f>IF(ISNUMBER(MATCH(B117, inventario!$A$2:$A$1001)), C117*_xlfn.XLOOKUP(B117,inventario!$A$2:$A$1001,inventario!$E$2:$E$1001), "")</f>
        <v/>
      </c>
    </row>
    <row r="118" spans="4:5" x14ac:dyDescent="0.25">
      <c r="D118" s="4" t="str">
        <f>IF(ISNUMBER(MATCH(B118, inventario!$A$2:$A$1001)), _xlfn.XLOOKUP(B118,inventario!$A$2:$A$1001,inventario!$E$2:$E$1001), "")</f>
        <v/>
      </c>
      <c r="E118" s="4" t="str">
        <f>IF(ISNUMBER(MATCH(B118, inventario!$A$2:$A$1001)), C118*_xlfn.XLOOKUP(B118,inventario!$A$2:$A$1001,inventario!$E$2:$E$1001), "")</f>
        <v/>
      </c>
    </row>
    <row r="119" spans="4:5" x14ac:dyDescent="0.25">
      <c r="D119" s="4" t="str">
        <f>IF(ISNUMBER(MATCH(B119, inventario!$A$2:$A$1001)), _xlfn.XLOOKUP(B119,inventario!$A$2:$A$1001,inventario!$E$2:$E$1001), "")</f>
        <v/>
      </c>
      <c r="E119" s="4" t="str">
        <f>IF(ISNUMBER(MATCH(B119, inventario!$A$2:$A$1001)), C119*_xlfn.XLOOKUP(B119,inventario!$A$2:$A$1001,inventario!$E$2:$E$1001), "")</f>
        <v/>
      </c>
    </row>
    <row r="120" spans="4:5" x14ac:dyDescent="0.25">
      <c r="D120" s="4" t="str">
        <f>IF(ISNUMBER(MATCH(B120, inventario!$A$2:$A$1001)), _xlfn.XLOOKUP(B120,inventario!$A$2:$A$1001,inventario!$E$2:$E$1001), "")</f>
        <v/>
      </c>
      <c r="E120" s="4" t="str">
        <f>IF(ISNUMBER(MATCH(B120, inventario!$A$2:$A$1001)), C120*_xlfn.XLOOKUP(B120,inventario!$A$2:$A$1001,inventario!$E$2:$E$1001), "")</f>
        <v/>
      </c>
    </row>
    <row r="121" spans="4:5" x14ac:dyDescent="0.25">
      <c r="D121" s="4" t="str">
        <f>IF(ISNUMBER(MATCH(B121, inventario!$A$2:$A$1001)), _xlfn.XLOOKUP(B121,inventario!$A$2:$A$1001,inventario!$E$2:$E$1001), "")</f>
        <v/>
      </c>
      <c r="E121" s="4" t="str">
        <f>IF(ISNUMBER(MATCH(B121, inventario!$A$2:$A$1001)), C121*_xlfn.XLOOKUP(B121,inventario!$A$2:$A$1001,inventario!$E$2:$E$1001), "")</f>
        <v/>
      </c>
    </row>
    <row r="122" spans="4:5" x14ac:dyDescent="0.25">
      <c r="D122" s="4" t="str">
        <f>IF(ISNUMBER(MATCH(B122, inventario!$A$2:$A$1001)), _xlfn.XLOOKUP(B122,inventario!$A$2:$A$1001,inventario!$E$2:$E$1001), "")</f>
        <v/>
      </c>
      <c r="E122" s="4" t="str">
        <f>IF(ISNUMBER(MATCH(B122, inventario!$A$2:$A$1001)), C122*_xlfn.XLOOKUP(B122,inventario!$A$2:$A$1001,inventario!$E$2:$E$1001), "")</f>
        <v/>
      </c>
    </row>
    <row r="123" spans="4:5" x14ac:dyDescent="0.25">
      <c r="D123" s="4" t="str">
        <f>IF(ISNUMBER(MATCH(B123, inventario!$A$2:$A$1001)), _xlfn.XLOOKUP(B123,inventario!$A$2:$A$1001,inventario!$E$2:$E$1001), "")</f>
        <v/>
      </c>
      <c r="E123" s="4" t="str">
        <f>IF(ISNUMBER(MATCH(B123, inventario!$A$2:$A$1001)), C123*_xlfn.XLOOKUP(B123,inventario!$A$2:$A$1001,inventario!$E$2:$E$1001), "")</f>
        <v/>
      </c>
    </row>
    <row r="124" spans="4:5" x14ac:dyDescent="0.25">
      <c r="D124" s="4" t="str">
        <f>IF(ISNUMBER(MATCH(B124, inventario!$A$2:$A$1001)), _xlfn.XLOOKUP(B124,inventario!$A$2:$A$1001,inventario!$E$2:$E$1001), "")</f>
        <v/>
      </c>
      <c r="E124" s="4" t="str">
        <f>IF(ISNUMBER(MATCH(B124, inventario!$A$2:$A$1001)), C124*_xlfn.XLOOKUP(B124,inventario!$A$2:$A$1001,inventario!$E$2:$E$1001), "")</f>
        <v/>
      </c>
    </row>
    <row r="125" spans="4:5" x14ac:dyDescent="0.25">
      <c r="D125" s="4" t="str">
        <f>IF(ISNUMBER(MATCH(B125, inventario!$A$2:$A$1001)), _xlfn.XLOOKUP(B125,inventario!$A$2:$A$1001,inventario!$E$2:$E$1001), "")</f>
        <v/>
      </c>
      <c r="E125" s="4" t="str">
        <f>IF(ISNUMBER(MATCH(B125, inventario!$A$2:$A$1001)), C125*_xlfn.XLOOKUP(B125,inventario!$A$2:$A$1001,inventario!$E$2:$E$1001), "")</f>
        <v/>
      </c>
    </row>
    <row r="126" spans="4:5" x14ac:dyDescent="0.25">
      <c r="D126" s="4" t="str">
        <f>IF(ISNUMBER(MATCH(B126, inventario!$A$2:$A$1001)), _xlfn.XLOOKUP(B126,inventario!$A$2:$A$1001,inventario!$E$2:$E$1001), "")</f>
        <v/>
      </c>
      <c r="E126" s="4" t="str">
        <f>IF(ISNUMBER(MATCH(B126, inventario!$A$2:$A$1001)), C126*_xlfn.XLOOKUP(B126,inventario!$A$2:$A$1001,inventario!$E$2:$E$1001), "")</f>
        <v/>
      </c>
    </row>
    <row r="127" spans="4:5" x14ac:dyDescent="0.25">
      <c r="D127" s="4" t="str">
        <f>IF(ISNUMBER(MATCH(B127, inventario!$A$2:$A$1001)), _xlfn.XLOOKUP(B127,inventario!$A$2:$A$1001,inventario!$E$2:$E$1001), "")</f>
        <v/>
      </c>
      <c r="E127" s="4" t="str">
        <f>IF(ISNUMBER(MATCH(B127, inventario!$A$2:$A$1001)), C127*_xlfn.XLOOKUP(B127,inventario!$A$2:$A$1001,inventario!$E$2:$E$1001), "")</f>
        <v/>
      </c>
    </row>
    <row r="128" spans="4:5" x14ac:dyDescent="0.25">
      <c r="D128" s="4" t="str">
        <f>IF(ISNUMBER(MATCH(B128, inventario!$A$2:$A$1001)), _xlfn.XLOOKUP(B128,inventario!$A$2:$A$1001,inventario!$E$2:$E$1001), "")</f>
        <v/>
      </c>
      <c r="E128" s="4" t="str">
        <f>IF(ISNUMBER(MATCH(B128, inventario!$A$2:$A$1001)), C128*_xlfn.XLOOKUP(B128,inventario!$A$2:$A$1001,inventario!$E$2:$E$1001), "")</f>
        <v/>
      </c>
    </row>
    <row r="129" spans="4:5" x14ac:dyDescent="0.25">
      <c r="D129" s="4" t="str">
        <f>IF(ISNUMBER(MATCH(B129, inventario!$A$2:$A$1001)), _xlfn.XLOOKUP(B129,inventario!$A$2:$A$1001,inventario!$E$2:$E$1001), "")</f>
        <v/>
      </c>
      <c r="E129" s="4" t="str">
        <f>IF(ISNUMBER(MATCH(B129, inventario!$A$2:$A$1001)), C129*_xlfn.XLOOKUP(B129,inventario!$A$2:$A$1001,inventario!$E$2:$E$1001), "")</f>
        <v/>
      </c>
    </row>
    <row r="130" spans="4:5" x14ac:dyDescent="0.25">
      <c r="D130" s="4" t="str">
        <f>IF(ISNUMBER(MATCH(B130, inventario!$A$2:$A$1001)), _xlfn.XLOOKUP(B130,inventario!$A$2:$A$1001,inventario!$E$2:$E$1001), "")</f>
        <v/>
      </c>
      <c r="E130" s="4" t="str">
        <f>IF(ISNUMBER(MATCH(B130, inventario!$A$2:$A$1001)), C130*_xlfn.XLOOKUP(B130,inventario!$A$2:$A$1001,inventario!$E$2:$E$1001), "")</f>
        <v/>
      </c>
    </row>
    <row r="131" spans="4:5" x14ac:dyDescent="0.25">
      <c r="D131" s="4" t="str">
        <f>IF(ISNUMBER(MATCH(B131, inventario!$A$2:$A$1001)), _xlfn.XLOOKUP(B131,inventario!$A$2:$A$1001,inventario!$E$2:$E$1001), "")</f>
        <v/>
      </c>
      <c r="E131" s="4" t="str">
        <f>IF(ISNUMBER(MATCH(B131, inventario!$A$2:$A$1001)), C131*_xlfn.XLOOKUP(B131,inventario!$A$2:$A$1001,inventario!$E$2:$E$1001), "")</f>
        <v/>
      </c>
    </row>
    <row r="132" spans="4:5" x14ac:dyDescent="0.25">
      <c r="D132" s="4" t="str">
        <f>IF(ISNUMBER(MATCH(B132, inventario!$A$2:$A$1001)), _xlfn.XLOOKUP(B132,inventario!$A$2:$A$1001,inventario!$E$2:$E$1001), "")</f>
        <v/>
      </c>
      <c r="E132" s="4" t="str">
        <f>IF(ISNUMBER(MATCH(B132, inventario!$A$2:$A$1001)), C132*_xlfn.XLOOKUP(B132,inventario!$A$2:$A$1001,inventario!$E$2:$E$1001), "")</f>
        <v/>
      </c>
    </row>
    <row r="133" spans="4:5" x14ac:dyDescent="0.25">
      <c r="D133" s="4" t="str">
        <f>IF(ISNUMBER(MATCH(B133, inventario!$A$2:$A$1001)), _xlfn.XLOOKUP(B133,inventario!$A$2:$A$1001,inventario!$E$2:$E$1001), "")</f>
        <v/>
      </c>
      <c r="E133" s="4" t="str">
        <f>IF(ISNUMBER(MATCH(B133, inventario!$A$2:$A$1001)), C133*_xlfn.XLOOKUP(B133,inventario!$A$2:$A$1001,inventario!$E$2:$E$1001), "")</f>
        <v/>
      </c>
    </row>
    <row r="134" spans="4:5" x14ac:dyDescent="0.25">
      <c r="D134" s="4" t="str">
        <f>IF(ISNUMBER(MATCH(B134, inventario!$A$2:$A$1001)), _xlfn.XLOOKUP(B134,inventario!$A$2:$A$1001,inventario!$E$2:$E$1001), "")</f>
        <v/>
      </c>
      <c r="E134" s="4" t="str">
        <f>IF(ISNUMBER(MATCH(B134, inventario!$A$2:$A$1001)), C134*_xlfn.XLOOKUP(B134,inventario!$A$2:$A$1001,inventario!$E$2:$E$1001), "")</f>
        <v/>
      </c>
    </row>
    <row r="135" spans="4:5" x14ac:dyDescent="0.25">
      <c r="D135" s="4" t="str">
        <f>IF(ISNUMBER(MATCH(B135, inventario!$A$2:$A$1001)), _xlfn.XLOOKUP(B135,inventario!$A$2:$A$1001,inventario!$E$2:$E$1001), "")</f>
        <v/>
      </c>
      <c r="E135" s="4" t="str">
        <f>IF(ISNUMBER(MATCH(B135, inventario!$A$2:$A$1001)), C135*_xlfn.XLOOKUP(B135,inventario!$A$2:$A$1001,inventario!$E$2:$E$1001), "")</f>
        <v/>
      </c>
    </row>
    <row r="136" spans="4:5" x14ac:dyDescent="0.25">
      <c r="D136" s="4" t="str">
        <f>IF(ISNUMBER(MATCH(B136, inventario!$A$2:$A$1001)), _xlfn.XLOOKUP(B136,inventario!$A$2:$A$1001,inventario!$E$2:$E$1001), "")</f>
        <v/>
      </c>
      <c r="E136" s="4" t="str">
        <f>IF(ISNUMBER(MATCH(B136, inventario!$A$2:$A$1001)), C136*_xlfn.XLOOKUP(B136,inventario!$A$2:$A$1001,inventario!$E$2:$E$1001), "")</f>
        <v/>
      </c>
    </row>
    <row r="137" spans="4:5" x14ac:dyDescent="0.25">
      <c r="D137" s="4" t="str">
        <f>IF(ISNUMBER(MATCH(B137, inventario!$A$2:$A$1001)), _xlfn.XLOOKUP(B137,inventario!$A$2:$A$1001,inventario!$E$2:$E$1001), "")</f>
        <v/>
      </c>
      <c r="E137" s="4" t="str">
        <f>IF(ISNUMBER(MATCH(B137, inventario!$A$2:$A$1001)), C137*_xlfn.XLOOKUP(B137,inventario!$A$2:$A$1001,inventario!$E$2:$E$1001), "")</f>
        <v/>
      </c>
    </row>
    <row r="138" spans="4:5" x14ac:dyDescent="0.25">
      <c r="D138" s="4" t="str">
        <f>IF(ISNUMBER(MATCH(B138, inventario!$A$2:$A$1001)), _xlfn.XLOOKUP(B138,inventario!$A$2:$A$1001,inventario!$E$2:$E$1001), "")</f>
        <v/>
      </c>
      <c r="E138" s="4" t="str">
        <f>IF(ISNUMBER(MATCH(B138, inventario!$A$2:$A$1001)), C138*_xlfn.XLOOKUP(B138,inventario!$A$2:$A$1001,inventario!$E$2:$E$1001), "")</f>
        <v/>
      </c>
    </row>
    <row r="139" spans="4:5" x14ac:dyDescent="0.25">
      <c r="D139" s="4" t="str">
        <f>IF(ISNUMBER(MATCH(B139, inventario!$A$2:$A$1001)), _xlfn.XLOOKUP(B139,inventario!$A$2:$A$1001,inventario!$E$2:$E$1001), "")</f>
        <v/>
      </c>
      <c r="E139" s="4" t="str">
        <f>IF(ISNUMBER(MATCH(B139, inventario!$A$2:$A$1001)), C139*_xlfn.XLOOKUP(B139,inventario!$A$2:$A$1001,inventario!$E$2:$E$1001), "")</f>
        <v/>
      </c>
    </row>
    <row r="140" spans="4:5" x14ac:dyDescent="0.25">
      <c r="D140" s="4" t="str">
        <f>IF(ISNUMBER(MATCH(B140, inventario!$A$2:$A$1001)), _xlfn.XLOOKUP(B140,inventario!$A$2:$A$1001,inventario!$E$2:$E$1001), "")</f>
        <v/>
      </c>
      <c r="E140" s="4" t="str">
        <f>IF(ISNUMBER(MATCH(B140, inventario!$A$2:$A$1001)), C140*_xlfn.XLOOKUP(B140,inventario!$A$2:$A$1001,inventario!$E$2:$E$1001), "")</f>
        <v/>
      </c>
    </row>
    <row r="141" spans="4:5" x14ac:dyDescent="0.25">
      <c r="D141" s="4" t="str">
        <f>IF(ISNUMBER(MATCH(B141, inventario!$A$2:$A$1001)), _xlfn.XLOOKUP(B141,inventario!$A$2:$A$1001,inventario!$E$2:$E$1001), "")</f>
        <v/>
      </c>
      <c r="E141" s="4" t="str">
        <f>IF(ISNUMBER(MATCH(B141, inventario!$A$2:$A$1001)), C141*_xlfn.XLOOKUP(B141,inventario!$A$2:$A$1001,inventario!$E$2:$E$1001), "")</f>
        <v/>
      </c>
    </row>
    <row r="142" spans="4:5" x14ac:dyDescent="0.25">
      <c r="D142" s="4" t="str">
        <f>IF(ISNUMBER(MATCH(B142, inventario!$A$2:$A$1001)), _xlfn.XLOOKUP(B142,inventario!$A$2:$A$1001,inventario!$E$2:$E$1001), "")</f>
        <v/>
      </c>
      <c r="E142" s="4" t="str">
        <f>IF(ISNUMBER(MATCH(B142, inventario!$A$2:$A$1001)), C142*_xlfn.XLOOKUP(B142,inventario!$A$2:$A$1001,inventario!$E$2:$E$1001), "")</f>
        <v/>
      </c>
    </row>
    <row r="143" spans="4:5" x14ac:dyDescent="0.25">
      <c r="D143" s="4" t="str">
        <f>IF(ISNUMBER(MATCH(B143, inventario!$A$2:$A$1001)), _xlfn.XLOOKUP(B143,inventario!$A$2:$A$1001,inventario!$E$2:$E$1001), "")</f>
        <v/>
      </c>
      <c r="E143" s="4" t="str">
        <f>IF(ISNUMBER(MATCH(B143, inventario!$A$2:$A$1001)), C143*_xlfn.XLOOKUP(B143,inventario!$A$2:$A$1001,inventario!$E$2:$E$1001), "")</f>
        <v/>
      </c>
    </row>
    <row r="144" spans="4:5" x14ac:dyDescent="0.25">
      <c r="D144" s="4" t="str">
        <f>IF(ISNUMBER(MATCH(B144, inventario!$A$2:$A$1001)), _xlfn.XLOOKUP(B144,inventario!$A$2:$A$1001,inventario!$E$2:$E$1001), "")</f>
        <v/>
      </c>
      <c r="E144" s="4" t="str">
        <f>IF(ISNUMBER(MATCH(B144, inventario!$A$2:$A$1001)), C144*_xlfn.XLOOKUP(B144,inventario!$A$2:$A$1001,inventario!$E$2:$E$1001), "")</f>
        <v/>
      </c>
    </row>
    <row r="145" spans="4:5" x14ac:dyDescent="0.25">
      <c r="D145" s="4" t="str">
        <f>IF(ISNUMBER(MATCH(B145, inventario!$A$2:$A$1001)), _xlfn.XLOOKUP(B145,inventario!$A$2:$A$1001,inventario!$E$2:$E$1001), "")</f>
        <v/>
      </c>
      <c r="E145" s="4" t="str">
        <f>IF(ISNUMBER(MATCH(B145, inventario!$A$2:$A$1001)), C145*_xlfn.XLOOKUP(B145,inventario!$A$2:$A$1001,inventario!$E$2:$E$1001), "")</f>
        <v/>
      </c>
    </row>
    <row r="146" spans="4:5" x14ac:dyDescent="0.25">
      <c r="D146" s="4" t="str">
        <f>IF(ISNUMBER(MATCH(B146, inventario!$A$2:$A$1001)), _xlfn.XLOOKUP(B146,inventario!$A$2:$A$1001,inventario!$E$2:$E$1001), "")</f>
        <v/>
      </c>
      <c r="E146" s="4" t="str">
        <f>IF(ISNUMBER(MATCH(B146, inventario!$A$2:$A$1001)), C146*_xlfn.XLOOKUP(B146,inventario!$A$2:$A$1001,inventario!$E$2:$E$1001), "")</f>
        <v/>
      </c>
    </row>
    <row r="147" spans="4:5" x14ac:dyDescent="0.25">
      <c r="D147" s="4" t="str">
        <f>IF(ISNUMBER(MATCH(B147, inventario!$A$2:$A$1001)), _xlfn.XLOOKUP(B147,inventario!$A$2:$A$1001,inventario!$E$2:$E$1001), "")</f>
        <v/>
      </c>
      <c r="E147" s="4" t="str">
        <f>IF(ISNUMBER(MATCH(B147, inventario!$A$2:$A$1001)), C147*_xlfn.XLOOKUP(B147,inventario!$A$2:$A$1001,inventario!$E$2:$E$1001), "")</f>
        <v/>
      </c>
    </row>
    <row r="148" spans="4:5" x14ac:dyDescent="0.25">
      <c r="D148" s="4" t="str">
        <f>IF(ISNUMBER(MATCH(B148, inventario!$A$2:$A$1001)), _xlfn.XLOOKUP(B148,inventario!$A$2:$A$1001,inventario!$E$2:$E$1001), "")</f>
        <v/>
      </c>
      <c r="E148" s="4" t="str">
        <f>IF(ISNUMBER(MATCH(B148, inventario!$A$2:$A$1001)), C148*_xlfn.XLOOKUP(B148,inventario!$A$2:$A$1001,inventario!$E$2:$E$1001), "")</f>
        <v/>
      </c>
    </row>
    <row r="149" spans="4:5" x14ac:dyDescent="0.25">
      <c r="D149" s="4" t="str">
        <f>IF(ISNUMBER(MATCH(B149, inventario!$A$2:$A$1001)), _xlfn.XLOOKUP(B149,inventario!$A$2:$A$1001,inventario!$E$2:$E$1001), "")</f>
        <v/>
      </c>
      <c r="E149" s="4" t="str">
        <f>IF(ISNUMBER(MATCH(B149, inventario!$A$2:$A$1001)), C149*_xlfn.XLOOKUP(B149,inventario!$A$2:$A$1001,inventario!$E$2:$E$1001), "")</f>
        <v/>
      </c>
    </row>
    <row r="150" spans="4:5" x14ac:dyDescent="0.25">
      <c r="D150" s="4" t="str">
        <f>IF(ISNUMBER(MATCH(B150, inventario!$A$2:$A$1001)), _xlfn.XLOOKUP(B150,inventario!$A$2:$A$1001,inventario!$E$2:$E$1001), "")</f>
        <v/>
      </c>
      <c r="E150" s="4" t="str">
        <f>IF(ISNUMBER(MATCH(B150, inventario!$A$2:$A$1001)), C150*_xlfn.XLOOKUP(B150,inventario!$A$2:$A$1001,inventario!$E$2:$E$1001), "")</f>
        <v/>
      </c>
    </row>
    <row r="151" spans="4:5" x14ac:dyDescent="0.25">
      <c r="D151" s="4" t="str">
        <f>IF(ISNUMBER(MATCH(B151, inventario!$A$2:$A$1001)), _xlfn.XLOOKUP(B151,inventario!$A$2:$A$1001,inventario!$E$2:$E$1001), "")</f>
        <v/>
      </c>
      <c r="E151" s="4" t="str">
        <f>IF(ISNUMBER(MATCH(B151, inventario!$A$2:$A$1001)), C151*_xlfn.XLOOKUP(B151,inventario!$A$2:$A$1001,inventario!$E$2:$E$1001), "")</f>
        <v/>
      </c>
    </row>
    <row r="152" spans="4:5" x14ac:dyDescent="0.25">
      <c r="D152" s="4" t="str">
        <f>IF(ISNUMBER(MATCH(B152, inventario!$A$2:$A$1001)), _xlfn.XLOOKUP(B152,inventario!$A$2:$A$1001,inventario!$E$2:$E$1001), "")</f>
        <v/>
      </c>
      <c r="E152" s="4" t="str">
        <f>IF(ISNUMBER(MATCH(B152, inventario!$A$2:$A$1001)), C152*_xlfn.XLOOKUP(B152,inventario!$A$2:$A$1001,inventario!$E$2:$E$1001), "")</f>
        <v/>
      </c>
    </row>
    <row r="153" spans="4:5" x14ac:dyDescent="0.25">
      <c r="D153" s="4" t="str">
        <f>IF(ISNUMBER(MATCH(B153, inventario!$A$2:$A$1001)), _xlfn.XLOOKUP(B153,inventario!$A$2:$A$1001,inventario!$E$2:$E$1001), "")</f>
        <v/>
      </c>
      <c r="E153" s="4" t="str">
        <f>IF(ISNUMBER(MATCH(B153, inventario!$A$2:$A$1001)), C153*_xlfn.XLOOKUP(B153,inventario!$A$2:$A$1001,inventario!$E$2:$E$1001), "")</f>
        <v/>
      </c>
    </row>
    <row r="154" spans="4:5" x14ac:dyDescent="0.25">
      <c r="D154" s="4" t="str">
        <f>IF(ISNUMBER(MATCH(B154, inventario!$A$2:$A$1001)), _xlfn.XLOOKUP(B154,inventario!$A$2:$A$1001,inventario!$E$2:$E$1001), "")</f>
        <v/>
      </c>
      <c r="E154" s="4" t="str">
        <f>IF(ISNUMBER(MATCH(B154, inventario!$A$2:$A$1001)), C154*_xlfn.XLOOKUP(B154,inventario!$A$2:$A$1001,inventario!$E$2:$E$1001), "")</f>
        <v/>
      </c>
    </row>
    <row r="155" spans="4:5" x14ac:dyDescent="0.25">
      <c r="D155" s="4" t="str">
        <f>IF(ISNUMBER(MATCH(B155, inventario!$A$2:$A$1001)), _xlfn.XLOOKUP(B155,inventario!$A$2:$A$1001,inventario!$E$2:$E$1001), "")</f>
        <v/>
      </c>
      <c r="E155" s="4" t="str">
        <f>IF(ISNUMBER(MATCH(B155, inventario!$A$2:$A$1001)), C155*_xlfn.XLOOKUP(B155,inventario!$A$2:$A$1001,inventario!$E$2:$E$1001), "")</f>
        <v/>
      </c>
    </row>
    <row r="156" spans="4:5" x14ac:dyDescent="0.25">
      <c r="D156" s="4" t="str">
        <f>IF(ISNUMBER(MATCH(B156, inventario!$A$2:$A$1001)), _xlfn.XLOOKUP(B156,inventario!$A$2:$A$1001,inventario!$E$2:$E$1001), "")</f>
        <v/>
      </c>
      <c r="E156" s="4" t="str">
        <f>IF(ISNUMBER(MATCH(B156, inventario!$A$2:$A$1001)), C156*_xlfn.XLOOKUP(B156,inventario!$A$2:$A$1001,inventario!$E$2:$E$1001), "")</f>
        <v/>
      </c>
    </row>
    <row r="157" spans="4:5" x14ac:dyDescent="0.25">
      <c r="D157" s="4" t="str">
        <f>IF(ISNUMBER(MATCH(B157, inventario!$A$2:$A$1001)), _xlfn.XLOOKUP(B157,inventario!$A$2:$A$1001,inventario!$E$2:$E$1001), "")</f>
        <v/>
      </c>
      <c r="E157" s="4" t="str">
        <f>IF(ISNUMBER(MATCH(B157, inventario!$A$2:$A$1001)), C157*_xlfn.XLOOKUP(B157,inventario!$A$2:$A$1001,inventario!$E$2:$E$1001), "")</f>
        <v/>
      </c>
    </row>
    <row r="158" spans="4:5" x14ac:dyDescent="0.25">
      <c r="D158" s="4" t="str">
        <f>IF(ISNUMBER(MATCH(B158, inventario!$A$2:$A$1001)), _xlfn.XLOOKUP(B158,inventario!$A$2:$A$1001,inventario!$E$2:$E$1001), "")</f>
        <v/>
      </c>
      <c r="E158" s="4" t="str">
        <f>IF(ISNUMBER(MATCH(B158, inventario!$A$2:$A$1001)), C158*_xlfn.XLOOKUP(B158,inventario!$A$2:$A$1001,inventario!$E$2:$E$1001), "")</f>
        <v/>
      </c>
    </row>
    <row r="159" spans="4:5" x14ac:dyDescent="0.25">
      <c r="D159" s="4" t="str">
        <f>IF(ISNUMBER(MATCH(B159, inventario!$A$2:$A$1001)), _xlfn.XLOOKUP(B159,inventario!$A$2:$A$1001,inventario!$E$2:$E$1001), "")</f>
        <v/>
      </c>
      <c r="E159" s="4" t="str">
        <f>IF(ISNUMBER(MATCH(B159, inventario!$A$2:$A$1001)), C159*_xlfn.XLOOKUP(B159,inventario!$A$2:$A$1001,inventario!$E$2:$E$1001), "")</f>
        <v/>
      </c>
    </row>
    <row r="160" spans="4:5" x14ac:dyDescent="0.25">
      <c r="D160" s="4" t="str">
        <f>IF(ISNUMBER(MATCH(B160, inventario!$A$2:$A$1001)), _xlfn.XLOOKUP(B160,inventario!$A$2:$A$1001,inventario!$E$2:$E$1001), "")</f>
        <v/>
      </c>
      <c r="E160" s="4" t="str">
        <f>IF(ISNUMBER(MATCH(B160, inventario!$A$2:$A$1001)), C160*_xlfn.XLOOKUP(B160,inventario!$A$2:$A$1001,inventario!$E$2:$E$1001), "")</f>
        <v/>
      </c>
    </row>
    <row r="161" spans="4:5" x14ac:dyDescent="0.25">
      <c r="D161" s="4" t="str">
        <f>IF(ISNUMBER(MATCH(B161, inventario!$A$2:$A$1001)), _xlfn.XLOOKUP(B161,inventario!$A$2:$A$1001,inventario!$E$2:$E$1001), "")</f>
        <v/>
      </c>
      <c r="E161" s="4" t="str">
        <f>IF(ISNUMBER(MATCH(B161, inventario!$A$2:$A$1001)), C161*_xlfn.XLOOKUP(B161,inventario!$A$2:$A$1001,inventario!$E$2:$E$1001), "")</f>
        <v/>
      </c>
    </row>
    <row r="162" spans="4:5" x14ac:dyDescent="0.25">
      <c r="D162" s="4" t="str">
        <f>IF(ISNUMBER(MATCH(B162, inventario!$A$2:$A$1001)), _xlfn.XLOOKUP(B162,inventario!$A$2:$A$1001,inventario!$E$2:$E$1001), "")</f>
        <v/>
      </c>
      <c r="E162" s="4" t="str">
        <f>IF(ISNUMBER(MATCH(B162, inventario!$A$2:$A$1001)), C162*_xlfn.XLOOKUP(B162,inventario!$A$2:$A$1001,inventario!$E$2:$E$1001), "")</f>
        <v/>
      </c>
    </row>
    <row r="163" spans="4:5" x14ac:dyDescent="0.25">
      <c r="D163" s="4" t="str">
        <f>IF(ISNUMBER(MATCH(B163, inventario!$A$2:$A$1001)), _xlfn.XLOOKUP(B163,inventario!$A$2:$A$1001,inventario!$E$2:$E$1001), "")</f>
        <v/>
      </c>
      <c r="E163" s="4" t="str">
        <f>IF(ISNUMBER(MATCH(B163, inventario!$A$2:$A$1001)), C163*_xlfn.XLOOKUP(B163,inventario!$A$2:$A$1001,inventario!$E$2:$E$1001), "")</f>
        <v/>
      </c>
    </row>
    <row r="164" spans="4:5" x14ac:dyDescent="0.25">
      <c r="D164" s="4" t="str">
        <f>IF(ISNUMBER(MATCH(B164, inventario!$A$2:$A$1001)), _xlfn.XLOOKUP(B164,inventario!$A$2:$A$1001,inventario!$E$2:$E$1001), "")</f>
        <v/>
      </c>
      <c r="E164" s="4" t="str">
        <f>IF(ISNUMBER(MATCH(B164, inventario!$A$2:$A$1001)), C164*_xlfn.XLOOKUP(B164,inventario!$A$2:$A$1001,inventario!$E$2:$E$1001), "")</f>
        <v/>
      </c>
    </row>
    <row r="165" spans="4:5" x14ac:dyDescent="0.25">
      <c r="D165" s="4" t="str">
        <f>IF(ISNUMBER(MATCH(B165, inventario!$A$2:$A$1001)), _xlfn.XLOOKUP(B165,inventario!$A$2:$A$1001,inventario!$E$2:$E$1001), "")</f>
        <v/>
      </c>
      <c r="E165" s="4" t="str">
        <f>IF(ISNUMBER(MATCH(B165, inventario!$A$2:$A$1001)), C165*_xlfn.XLOOKUP(B165,inventario!$A$2:$A$1001,inventario!$E$2:$E$1001), "")</f>
        <v/>
      </c>
    </row>
    <row r="166" spans="4:5" x14ac:dyDescent="0.25">
      <c r="D166" s="4" t="str">
        <f>IF(ISNUMBER(MATCH(B166, inventario!$A$2:$A$1001)), _xlfn.XLOOKUP(B166,inventario!$A$2:$A$1001,inventario!$E$2:$E$1001), "")</f>
        <v/>
      </c>
      <c r="E166" s="4" t="str">
        <f>IF(ISNUMBER(MATCH(B166, inventario!$A$2:$A$1001)), C166*_xlfn.XLOOKUP(B166,inventario!$A$2:$A$1001,inventario!$E$2:$E$1001), "")</f>
        <v/>
      </c>
    </row>
    <row r="167" spans="4:5" x14ac:dyDescent="0.25">
      <c r="D167" s="4" t="str">
        <f>IF(ISNUMBER(MATCH(B167, inventario!$A$2:$A$1001)), _xlfn.XLOOKUP(B167,inventario!$A$2:$A$1001,inventario!$E$2:$E$1001), "")</f>
        <v/>
      </c>
      <c r="E167" s="4" t="str">
        <f>IF(ISNUMBER(MATCH(B167, inventario!$A$2:$A$1001)), C167*_xlfn.XLOOKUP(B167,inventario!$A$2:$A$1001,inventario!$E$2:$E$1001), "")</f>
        <v/>
      </c>
    </row>
    <row r="168" spans="4:5" x14ac:dyDescent="0.25">
      <c r="D168" s="4" t="str">
        <f>IF(ISNUMBER(MATCH(B168, inventario!$A$2:$A$1001)), _xlfn.XLOOKUP(B168,inventario!$A$2:$A$1001,inventario!$E$2:$E$1001), "")</f>
        <v/>
      </c>
      <c r="E168" s="4" t="str">
        <f>IF(ISNUMBER(MATCH(B168, inventario!$A$2:$A$1001)), C168*_xlfn.XLOOKUP(B168,inventario!$A$2:$A$1001,inventario!$E$2:$E$1001), "")</f>
        <v/>
      </c>
    </row>
    <row r="169" spans="4:5" x14ac:dyDescent="0.25">
      <c r="D169" s="4" t="str">
        <f>IF(ISNUMBER(MATCH(B169, inventario!$A$2:$A$1001)), _xlfn.XLOOKUP(B169,inventario!$A$2:$A$1001,inventario!$E$2:$E$1001), "")</f>
        <v/>
      </c>
      <c r="E169" s="4" t="str">
        <f>IF(ISNUMBER(MATCH(B169, inventario!$A$2:$A$1001)), C169*_xlfn.XLOOKUP(B169,inventario!$A$2:$A$1001,inventario!$E$2:$E$1001), "")</f>
        <v/>
      </c>
    </row>
    <row r="170" spans="4:5" x14ac:dyDescent="0.25">
      <c r="D170" s="4" t="str">
        <f>IF(ISNUMBER(MATCH(B170, inventario!$A$2:$A$1001)), _xlfn.XLOOKUP(B170,inventario!$A$2:$A$1001,inventario!$E$2:$E$1001), "")</f>
        <v/>
      </c>
      <c r="E170" s="4" t="str">
        <f>IF(ISNUMBER(MATCH(B170, inventario!$A$2:$A$1001)), C170*_xlfn.XLOOKUP(B170,inventario!$A$2:$A$1001,inventario!$E$2:$E$1001), "")</f>
        <v/>
      </c>
    </row>
    <row r="171" spans="4:5" x14ac:dyDescent="0.25">
      <c r="D171" s="4" t="str">
        <f>IF(ISNUMBER(MATCH(B171, inventario!$A$2:$A$1001)), _xlfn.XLOOKUP(B171,inventario!$A$2:$A$1001,inventario!$E$2:$E$1001), "")</f>
        <v/>
      </c>
      <c r="E171" s="4" t="str">
        <f>IF(ISNUMBER(MATCH(B171, inventario!$A$2:$A$1001)), C171*_xlfn.XLOOKUP(B171,inventario!$A$2:$A$1001,inventario!$E$2:$E$1001), "")</f>
        <v/>
      </c>
    </row>
    <row r="172" spans="4:5" x14ac:dyDescent="0.25">
      <c r="D172" s="4" t="str">
        <f>IF(ISNUMBER(MATCH(B172, inventario!$A$2:$A$1001)), _xlfn.XLOOKUP(B172,inventario!$A$2:$A$1001,inventario!$E$2:$E$1001), "")</f>
        <v/>
      </c>
      <c r="E172" s="4" t="str">
        <f>IF(ISNUMBER(MATCH(B172, inventario!$A$2:$A$1001)), C172*_xlfn.XLOOKUP(B172,inventario!$A$2:$A$1001,inventario!$E$2:$E$1001), "")</f>
        <v/>
      </c>
    </row>
    <row r="173" spans="4:5" x14ac:dyDescent="0.25">
      <c r="D173" s="4" t="str">
        <f>IF(ISNUMBER(MATCH(B173, inventario!$A$2:$A$1001)), _xlfn.XLOOKUP(B173,inventario!$A$2:$A$1001,inventario!$E$2:$E$1001), "")</f>
        <v/>
      </c>
      <c r="E173" s="4" t="str">
        <f>IF(ISNUMBER(MATCH(B173, inventario!$A$2:$A$1001)), C173*_xlfn.XLOOKUP(B173,inventario!$A$2:$A$1001,inventario!$E$2:$E$1001), "")</f>
        <v/>
      </c>
    </row>
    <row r="174" spans="4:5" x14ac:dyDescent="0.25">
      <c r="D174" s="4" t="str">
        <f>IF(ISNUMBER(MATCH(B174, inventario!$A$2:$A$1001)), _xlfn.XLOOKUP(B174,inventario!$A$2:$A$1001,inventario!$E$2:$E$1001), "")</f>
        <v/>
      </c>
      <c r="E174" s="4" t="str">
        <f>IF(ISNUMBER(MATCH(B174, inventario!$A$2:$A$1001)), C174*_xlfn.XLOOKUP(B174,inventario!$A$2:$A$1001,inventario!$E$2:$E$1001), "")</f>
        <v/>
      </c>
    </row>
    <row r="175" spans="4:5" x14ac:dyDescent="0.25">
      <c r="D175" s="4" t="str">
        <f>IF(ISNUMBER(MATCH(B175, inventario!$A$2:$A$1001)), _xlfn.XLOOKUP(B175,inventario!$A$2:$A$1001,inventario!$E$2:$E$1001), "")</f>
        <v/>
      </c>
      <c r="E175" s="4" t="str">
        <f>IF(ISNUMBER(MATCH(B175, inventario!$A$2:$A$1001)), C175*_xlfn.XLOOKUP(B175,inventario!$A$2:$A$1001,inventario!$E$2:$E$1001), "")</f>
        <v/>
      </c>
    </row>
    <row r="176" spans="4:5" x14ac:dyDescent="0.25">
      <c r="D176" s="4" t="str">
        <f>IF(ISNUMBER(MATCH(B176, inventario!$A$2:$A$1001)), _xlfn.XLOOKUP(B176,inventario!$A$2:$A$1001,inventario!$E$2:$E$1001), "")</f>
        <v/>
      </c>
      <c r="E176" s="4" t="str">
        <f>IF(ISNUMBER(MATCH(B176, inventario!$A$2:$A$1001)), C176*_xlfn.XLOOKUP(B176,inventario!$A$2:$A$1001,inventario!$E$2:$E$1001), "")</f>
        <v/>
      </c>
    </row>
    <row r="177" spans="4:5" x14ac:dyDescent="0.25">
      <c r="D177" s="4" t="str">
        <f>IF(ISNUMBER(MATCH(B177, inventario!$A$2:$A$1001)), _xlfn.XLOOKUP(B177,inventario!$A$2:$A$1001,inventario!$E$2:$E$1001), "")</f>
        <v/>
      </c>
      <c r="E177" s="4" t="str">
        <f>IF(ISNUMBER(MATCH(B177, inventario!$A$2:$A$1001)), C177*_xlfn.XLOOKUP(B177,inventario!$A$2:$A$1001,inventario!$E$2:$E$1001), "")</f>
        <v/>
      </c>
    </row>
    <row r="178" spans="4:5" x14ac:dyDescent="0.25">
      <c r="D178" s="4" t="str">
        <f>IF(ISNUMBER(MATCH(B178, inventario!$A$2:$A$1001)), _xlfn.XLOOKUP(B178,inventario!$A$2:$A$1001,inventario!$E$2:$E$1001), "")</f>
        <v/>
      </c>
      <c r="E178" s="4" t="str">
        <f>IF(ISNUMBER(MATCH(B178, inventario!$A$2:$A$1001)), C178*_xlfn.XLOOKUP(B178,inventario!$A$2:$A$1001,inventario!$E$2:$E$1001), "")</f>
        <v/>
      </c>
    </row>
    <row r="179" spans="4:5" x14ac:dyDescent="0.25">
      <c r="D179" s="4" t="str">
        <f>IF(ISNUMBER(MATCH(B179, inventario!$A$2:$A$1001)), _xlfn.XLOOKUP(B179,inventario!$A$2:$A$1001,inventario!$E$2:$E$1001), "")</f>
        <v/>
      </c>
      <c r="E179" s="4" t="str">
        <f>IF(ISNUMBER(MATCH(B179, inventario!$A$2:$A$1001)), C179*_xlfn.XLOOKUP(B179,inventario!$A$2:$A$1001,inventario!$E$2:$E$1001), "")</f>
        <v/>
      </c>
    </row>
    <row r="180" spans="4:5" x14ac:dyDescent="0.25">
      <c r="D180" s="4" t="str">
        <f>IF(ISNUMBER(MATCH(B180, inventario!$A$2:$A$1001)), _xlfn.XLOOKUP(B180,inventario!$A$2:$A$1001,inventario!$E$2:$E$1001), "")</f>
        <v/>
      </c>
      <c r="E180" s="4" t="str">
        <f>IF(ISNUMBER(MATCH(B180, inventario!$A$2:$A$1001)), C180*_xlfn.XLOOKUP(B180,inventario!$A$2:$A$1001,inventario!$E$2:$E$1001), "")</f>
        <v/>
      </c>
    </row>
    <row r="181" spans="4:5" x14ac:dyDescent="0.25">
      <c r="D181" s="4" t="str">
        <f>IF(ISNUMBER(MATCH(B181, inventario!$A$2:$A$1001)), _xlfn.XLOOKUP(B181,inventario!$A$2:$A$1001,inventario!$E$2:$E$1001), "")</f>
        <v/>
      </c>
      <c r="E181" s="4" t="str">
        <f>IF(ISNUMBER(MATCH(B181, inventario!$A$2:$A$1001)), C181*_xlfn.XLOOKUP(B181,inventario!$A$2:$A$1001,inventario!$E$2:$E$1001), "")</f>
        <v/>
      </c>
    </row>
    <row r="182" spans="4:5" x14ac:dyDescent="0.25">
      <c r="D182" s="4" t="str">
        <f>IF(ISNUMBER(MATCH(B182, inventario!$A$2:$A$1001)), _xlfn.XLOOKUP(B182,inventario!$A$2:$A$1001,inventario!$E$2:$E$1001), "")</f>
        <v/>
      </c>
      <c r="E182" s="4" t="str">
        <f>IF(ISNUMBER(MATCH(B182, inventario!$A$2:$A$1001)), C182*_xlfn.XLOOKUP(B182,inventario!$A$2:$A$1001,inventario!$E$2:$E$1001), "")</f>
        <v/>
      </c>
    </row>
    <row r="183" spans="4:5" x14ac:dyDescent="0.25">
      <c r="D183" s="4" t="str">
        <f>IF(ISNUMBER(MATCH(B183, inventario!$A$2:$A$1001)), _xlfn.XLOOKUP(B183,inventario!$A$2:$A$1001,inventario!$E$2:$E$1001), "")</f>
        <v/>
      </c>
      <c r="E183" s="4" t="str">
        <f>IF(ISNUMBER(MATCH(B183, inventario!$A$2:$A$1001)), C183*_xlfn.XLOOKUP(B183,inventario!$A$2:$A$1001,inventario!$E$2:$E$1001), "")</f>
        <v/>
      </c>
    </row>
    <row r="184" spans="4:5" x14ac:dyDescent="0.25">
      <c r="D184" s="4" t="str">
        <f>IF(ISNUMBER(MATCH(B184, inventario!$A$2:$A$1001)), _xlfn.XLOOKUP(B184,inventario!$A$2:$A$1001,inventario!$E$2:$E$1001), "")</f>
        <v/>
      </c>
      <c r="E184" s="4" t="str">
        <f>IF(ISNUMBER(MATCH(B184, inventario!$A$2:$A$1001)), C184*_xlfn.XLOOKUP(B184,inventario!$A$2:$A$1001,inventario!$E$2:$E$1001), "")</f>
        <v/>
      </c>
    </row>
    <row r="185" spans="4:5" x14ac:dyDescent="0.25">
      <c r="D185" s="4" t="str">
        <f>IF(ISNUMBER(MATCH(B185, inventario!$A$2:$A$1001)), _xlfn.XLOOKUP(B185,inventario!$A$2:$A$1001,inventario!$E$2:$E$1001), "")</f>
        <v/>
      </c>
      <c r="E185" s="4" t="str">
        <f>IF(ISNUMBER(MATCH(B185, inventario!$A$2:$A$1001)), C185*_xlfn.XLOOKUP(B185,inventario!$A$2:$A$1001,inventario!$E$2:$E$1001), "")</f>
        <v/>
      </c>
    </row>
    <row r="186" spans="4:5" x14ac:dyDescent="0.25">
      <c r="D186" s="4" t="str">
        <f>IF(ISNUMBER(MATCH(B186, inventario!$A$2:$A$1001)), _xlfn.XLOOKUP(B186,inventario!$A$2:$A$1001,inventario!$E$2:$E$1001), "")</f>
        <v/>
      </c>
      <c r="E186" s="4" t="str">
        <f>IF(ISNUMBER(MATCH(B186, inventario!$A$2:$A$1001)), C186*_xlfn.XLOOKUP(B186,inventario!$A$2:$A$1001,inventario!$E$2:$E$1001), "")</f>
        <v/>
      </c>
    </row>
    <row r="187" spans="4:5" x14ac:dyDescent="0.25">
      <c r="D187" s="4" t="str">
        <f>IF(ISNUMBER(MATCH(B187, inventario!$A$2:$A$1001)), _xlfn.XLOOKUP(B187,inventario!$A$2:$A$1001,inventario!$E$2:$E$1001), "")</f>
        <v/>
      </c>
      <c r="E187" s="4" t="str">
        <f>IF(ISNUMBER(MATCH(B187, inventario!$A$2:$A$1001)), C187*_xlfn.XLOOKUP(B187,inventario!$A$2:$A$1001,inventario!$E$2:$E$1001), "")</f>
        <v/>
      </c>
    </row>
    <row r="188" spans="4:5" x14ac:dyDescent="0.25">
      <c r="D188" s="4" t="str">
        <f>IF(ISNUMBER(MATCH(B188, inventario!$A$2:$A$1001)), _xlfn.XLOOKUP(B188,inventario!$A$2:$A$1001,inventario!$E$2:$E$1001), "")</f>
        <v/>
      </c>
      <c r="E188" s="4" t="str">
        <f>IF(ISNUMBER(MATCH(B188, inventario!$A$2:$A$1001)), C188*_xlfn.XLOOKUP(B188,inventario!$A$2:$A$1001,inventario!$E$2:$E$1001), "")</f>
        <v/>
      </c>
    </row>
    <row r="189" spans="4:5" x14ac:dyDescent="0.25">
      <c r="D189" s="4" t="str">
        <f>IF(ISNUMBER(MATCH(B189, inventario!$A$2:$A$1001)), _xlfn.XLOOKUP(B189,inventario!$A$2:$A$1001,inventario!$E$2:$E$1001), "")</f>
        <v/>
      </c>
      <c r="E189" s="4" t="str">
        <f>IF(ISNUMBER(MATCH(B189, inventario!$A$2:$A$1001)), C189*_xlfn.XLOOKUP(B189,inventario!$A$2:$A$1001,inventario!$E$2:$E$1001), "")</f>
        <v/>
      </c>
    </row>
    <row r="190" spans="4:5" x14ac:dyDescent="0.25">
      <c r="D190" s="4" t="str">
        <f>IF(ISNUMBER(MATCH(B190, inventario!$A$2:$A$1001)), _xlfn.XLOOKUP(B190,inventario!$A$2:$A$1001,inventario!$E$2:$E$1001), "")</f>
        <v/>
      </c>
      <c r="E190" s="4" t="str">
        <f>IF(ISNUMBER(MATCH(B190, inventario!$A$2:$A$1001)), C190*_xlfn.XLOOKUP(B190,inventario!$A$2:$A$1001,inventario!$E$2:$E$1001), "")</f>
        <v/>
      </c>
    </row>
    <row r="191" spans="4:5" x14ac:dyDescent="0.25">
      <c r="D191" s="4" t="str">
        <f>IF(ISNUMBER(MATCH(B191, inventario!$A$2:$A$1001)), _xlfn.XLOOKUP(B191,inventario!$A$2:$A$1001,inventario!$E$2:$E$1001), "")</f>
        <v/>
      </c>
      <c r="E191" s="4" t="str">
        <f>IF(ISNUMBER(MATCH(B191, inventario!$A$2:$A$1001)), C191*_xlfn.XLOOKUP(B191,inventario!$A$2:$A$1001,inventario!$E$2:$E$1001), "")</f>
        <v/>
      </c>
    </row>
    <row r="192" spans="4:5" x14ac:dyDescent="0.25">
      <c r="D192" s="4" t="str">
        <f>IF(ISNUMBER(MATCH(B192, inventario!$A$2:$A$1001)), _xlfn.XLOOKUP(B192,inventario!$A$2:$A$1001,inventario!$E$2:$E$1001), "")</f>
        <v/>
      </c>
      <c r="E192" s="4" t="str">
        <f>IF(ISNUMBER(MATCH(B192, inventario!$A$2:$A$1001)), C192*_xlfn.XLOOKUP(B192,inventario!$A$2:$A$1001,inventario!$E$2:$E$1001), "")</f>
        <v/>
      </c>
    </row>
    <row r="193" spans="4:5" x14ac:dyDescent="0.25">
      <c r="D193" s="4" t="str">
        <f>IF(ISNUMBER(MATCH(B193, inventario!$A$2:$A$1001)), _xlfn.XLOOKUP(B193,inventario!$A$2:$A$1001,inventario!$E$2:$E$1001), "")</f>
        <v/>
      </c>
      <c r="E193" s="4" t="str">
        <f>IF(ISNUMBER(MATCH(B193, inventario!$A$2:$A$1001)), C193*_xlfn.XLOOKUP(B193,inventario!$A$2:$A$1001,inventario!$E$2:$E$1001), "")</f>
        <v/>
      </c>
    </row>
    <row r="194" spans="4:5" x14ac:dyDescent="0.25">
      <c r="D194" s="4" t="str">
        <f>IF(ISNUMBER(MATCH(B194, inventario!$A$2:$A$1001)), _xlfn.XLOOKUP(B194,inventario!$A$2:$A$1001,inventario!$E$2:$E$1001), "")</f>
        <v/>
      </c>
      <c r="E194" s="4" t="str">
        <f>IF(ISNUMBER(MATCH(B194, inventario!$A$2:$A$1001)), C194*_xlfn.XLOOKUP(B194,inventario!$A$2:$A$1001,inventario!$E$2:$E$1001), "")</f>
        <v/>
      </c>
    </row>
    <row r="195" spans="4:5" x14ac:dyDescent="0.25">
      <c r="D195" s="4" t="str">
        <f>IF(ISNUMBER(MATCH(B195, inventario!$A$2:$A$1001)), _xlfn.XLOOKUP(B195,inventario!$A$2:$A$1001,inventario!$E$2:$E$1001), "")</f>
        <v/>
      </c>
      <c r="E195" s="4" t="str">
        <f>IF(ISNUMBER(MATCH(B195, inventario!$A$2:$A$1001)), C195*_xlfn.XLOOKUP(B195,inventario!$A$2:$A$1001,inventario!$E$2:$E$1001), "")</f>
        <v/>
      </c>
    </row>
    <row r="196" spans="4:5" x14ac:dyDescent="0.25">
      <c r="D196" s="4" t="str">
        <f>IF(ISNUMBER(MATCH(B196, inventario!$A$2:$A$1001)), _xlfn.XLOOKUP(B196,inventario!$A$2:$A$1001,inventario!$E$2:$E$1001), "")</f>
        <v/>
      </c>
      <c r="E196" s="4" t="str">
        <f>IF(ISNUMBER(MATCH(B196, inventario!$A$2:$A$1001)), C196*_xlfn.XLOOKUP(B196,inventario!$A$2:$A$1001,inventario!$E$2:$E$1001), "")</f>
        <v/>
      </c>
    </row>
    <row r="197" spans="4:5" x14ac:dyDescent="0.25">
      <c r="D197" s="4" t="str">
        <f>IF(ISNUMBER(MATCH(B197, inventario!$A$2:$A$1001)), _xlfn.XLOOKUP(B197,inventario!$A$2:$A$1001,inventario!$E$2:$E$1001), "")</f>
        <v/>
      </c>
      <c r="E197" s="4" t="str">
        <f>IF(ISNUMBER(MATCH(B197, inventario!$A$2:$A$1001)), C197*_xlfn.XLOOKUP(B197,inventario!$A$2:$A$1001,inventario!$E$2:$E$1001), "")</f>
        <v/>
      </c>
    </row>
    <row r="198" spans="4:5" x14ac:dyDescent="0.25">
      <c r="D198" s="4" t="str">
        <f>IF(ISNUMBER(MATCH(B198, inventario!$A$2:$A$1001)), _xlfn.XLOOKUP(B198,inventario!$A$2:$A$1001,inventario!$E$2:$E$1001), "")</f>
        <v/>
      </c>
      <c r="E198" s="4" t="str">
        <f>IF(ISNUMBER(MATCH(B198, inventario!$A$2:$A$1001)), C198*_xlfn.XLOOKUP(B198,inventario!$A$2:$A$1001,inventario!$E$2:$E$1001), "")</f>
        <v/>
      </c>
    </row>
    <row r="199" spans="4:5" x14ac:dyDescent="0.25">
      <c r="D199" s="4" t="str">
        <f>IF(ISNUMBER(MATCH(B199, inventario!$A$2:$A$1001)), _xlfn.XLOOKUP(B199,inventario!$A$2:$A$1001,inventario!$E$2:$E$1001), "")</f>
        <v/>
      </c>
      <c r="E199" s="4" t="str">
        <f>IF(ISNUMBER(MATCH(B199, inventario!$A$2:$A$1001)), C199*_xlfn.XLOOKUP(B199,inventario!$A$2:$A$1001,inventario!$E$2:$E$1001), "")</f>
        <v/>
      </c>
    </row>
    <row r="200" spans="4:5" x14ac:dyDescent="0.25">
      <c r="D200" s="4" t="str">
        <f>IF(ISNUMBER(MATCH(B200, inventario!$A$2:$A$1001)), _xlfn.XLOOKUP(B200,inventario!$A$2:$A$1001,inventario!$E$2:$E$1001), "")</f>
        <v/>
      </c>
      <c r="E200" s="4" t="str">
        <f>IF(ISNUMBER(MATCH(B200, inventario!$A$2:$A$1001)), C200*_xlfn.XLOOKUP(B200,inventario!$A$2:$A$1001,inventario!$E$2:$E$1001), "")</f>
        <v/>
      </c>
    </row>
    <row r="201" spans="4:5" x14ac:dyDescent="0.25">
      <c r="D201" s="4" t="str">
        <f>IF(ISNUMBER(MATCH(B201, inventario!$A$2:$A$1001)), _xlfn.XLOOKUP(B201,inventario!$A$2:$A$1001,inventario!$E$2:$E$1001), "")</f>
        <v/>
      </c>
      <c r="E201" s="4" t="str">
        <f>IF(ISNUMBER(MATCH(B201, inventario!$A$2:$A$1001)), C201*_xlfn.XLOOKUP(B201,inventario!$A$2:$A$1001,inventario!$E$2:$E$1001), "")</f>
        <v/>
      </c>
    </row>
    <row r="202" spans="4:5" x14ac:dyDescent="0.25">
      <c r="D202" s="4" t="str">
        <f>IF(ISNUMBER(MATCH(B202, inventario!$A$2:$A$1001)), _xlfn.XLOOKUP(B202,inventario!$A$2:$A$1001,inventario!$E$2:$E$1001), "")</f>
        <v/>
      </c>
      <c r="E202" s="4" t="str">
        <f>IF(ISNUMBER(MATCH(B202, inventario!$A$2:$A$1001)), C202*_xlfn.XLOOKUP(B202,inventario!$A$2:$A$1001,inventario!$E$2:$E$1001), "")</f>
        <v/>
      </c>
    </row>
    <row r="203" spans="4:5" x14ac:dyDescent="0.25">
      <c r="D203" s="4" t="str">
        <f>IF(ISNUMBER(MATCH(B203, inventario!$A$2:$A$1001)), _xlfn.XLOOKUP(B203,inventario!$A$2:$A$1001,inventario!$E$2:$E$1001), "")</f>
        <v/>
      </c>
      <c r="E203" s="4" t="str">
        <f>IF(ISNUMBER(MATCH(B203, inventario!$A$2:$A$1001)), C203*_xlfn.XLOOKUP(B203,inventario!$A$2:$A$1001,inventario!$E$2:$E$1001), "")</f>
        <v/>
      </c>
    </row>
    <row r="204" spans="4:5" x14ac:dyDescent="0.25">
      <c r="D204" s="4" t="str">
        <f>IF(ISNUMBER(MATCH(B204, inventario!$A$2:$A$1001)), _xlfn.XLOOKUP(B204,inventario!$A$2:$A$1001,inventario!$E$2:$E$1001), "")</f>
        <v/>
      </c>
      <c r="E204" s="4" t="str">
        <f>IF(ISNUMBER(MATCH(B204, inventario!$A$2:$A$1001)), C204*_xlfn.XLOOKUP(B204,inventario!$A$2:$A$1001,inventario!$E$2:$E$1001), "")</f>
        <v/>
      </c>
    </row>
    <row r="205" spans="4:5" x14ac:dyDescent="0.25">
      <c r="D205" s="4" t="str">
        <f>IF(ISNUMBER(MATCH(B205, inventario!$A$2:$A$1001)), _xlfn.XLOOKUP(B205,inventario!$A$2:$A$1001,inventario!$E$2:$E$1001), "")</f>
        <v/>
      </c>
      <c r="E205" s="4" t="str">
        <f>IF(ISNUMBER(MATCH(B205, inventario!$A$2:$A$1001)), C205*_xlfn.XLOOKUP(B205,inventario!$A$2:$A$1001,inventario!$E$2:$E$1001), "")</f>
        <v/>
      </c>
    </row>
    <row r="206" spans="4:5" x14ac:dyDescent="0.25">
      <c r="D206" s="4" t="str">
        <f>IF(ISNUMBER(MATCH(B206, inventario!$A$2:$A$1001)), _xlfn.XLOOKUP(B206,inventario!$A$2:$A$1001,inventario!$E$2:$E$1001), "")</f>
        <v/>
      </c>
      <c r="E206" s="4" t="str">
        <f>IF(ISNUMBER(MATCH(B206, inventario!$A$2:$A$1001)), C206*_xlfn.XLOOKUP(B206,inventario!$A$2:$A$1001,inventario!$E$2:$E$1001), "")</f>
        <v/>
      </c>
    </row>
    <row r="207" spans="4:5" x14ac:dyDescent="0.25">
      <c r="D207" s="4" t="str">
        <f>IF(ISNUMBER(MATCH(B207, inventario!$A$2:$A$1001)), _xlfn.XLOOKUP(B207,inventario!$A$2:$A$1001,inventario!$E$2:$E$1001), "")</f>
        <v/>
      </c>
      <c r="E207" s="4" t="str">
        <f>IF(ISNUMBER(MATCH(B207, inventario!$A$2:$A$1001)), C207*_xlfn.XLOOKUP(B207,inventario!$A$2:$A$1001,inventario!$E$2:$E$1001), "")</f>
        <v/>
      </c>
    </row>
    <row r="208" spans="4:5" x14ac:dyDescent="0.25">
      <c r="D208" s="4" t="str">
        <f>IF(ISNUMBER(MATCH(B208, inventario!$A$2:$A$1001)), _xlfn.XLOOKUP(B208,inventario!$A$2:$A$1001,inventario!$E$2:$E$1001), "")</f>
        <v/>
      </c>
      <c r="E208" s="4" t="str">
        <f>IF(ISNUMBER(MATCH(B208, inventario!$A$2:$A$1001)), C208*_xlfn.XLOOKUP(B208,inventario!$A$2:$A$1001,inventario!$E$2:$E$1001), "")</f>
        <v/>
      </c>
    </row>
    <row r="209" spans="4:5" x14ac:dyDescent="0.25">
      <c r="D209" s="4" t="str">
        <f>IF(ISNUMBER(MATCH(B209, inventario!$A$2:$A$1001)), _xlfn.XLOOKUP(B209,inventario!$A$2:$A$1001,inventario!$E$2:$E$1001), "")</f>
        <v/>
      </c>
      <c r="E209" s="4" t="str">
        <f>IF(ISNUMBER(MATCH(B209, inventario!$A$2:$A$1001)), C209*_xlfn.XLOOKUP(B209,inventario!$A$2:$A$1001,inventario!$E$2:$E$1001), "")</f>
        <v/>
      </c>
    </row>
    <row r="210" spans="4:5" x14ac:dyDescent="0.25">
      <c r="D210" s="4" t="str">
        <f>IF(ISNUMBER(MATCH(B210, inventario!$A$2:$A$1001)), _xlfn.XLOOKUP(B210,inventario!$A$2:$A$1001,inventario!$E$2:$E$1001), "")</f>
        <v/>
      </c>
      <c r="E210" s="4" t="str">
        <f>IF(ISNUMBER(MATCH(B210, inventario!$A$2:$A$1001)), C210*_xlfn.XLOOKUP(B210,inventario!$A$2:$A$1001,inventario!$E$2:$E$1001), "")</f>
        <v/>
      </c>
    </row>
    <row r="211" spans="4:5" x14ac:dyDescent="0.25">
      <c r="D211" s="4" t="str">
        <f>IF(ISNUMBER(MATCH(B211, inventario!$A$2:$A$1001)), _xlfn.XLOOKUP(B211,inventario!$A$2:$A$1001,inventario!$E$2:$E$1001), "")</f>
        <v/>
      </c>
      <c r="E211" s="4" t="str">
        <f>IF(ISNUMBER(MATCH(B211, inventario!$A$2:$A$1001)), C211*_xlfn.XLOOKUP(B211,inventario!$A$2:$A$1001,inventario!$E$2:$E$1001), "")</f>
        <v/>
      </c>
    </row>
    <row r="212" spans="4:5" x14ac:dyDescent="0.25">
      <c r="D212" s="4" t="str">
        <f>IF(ISNUMBER(MATCH(B212, inventario!$A$2:$A$1001)), _xlfn.XLOOKUP(B212,inventario!$A$2:$A$1001,inventario!$E$2:$E$1001), "")</f>
        <v/>
      </c>
      <c r="E212" s="4" t="str">
        <f>IF(ISNUMBER(MATCH(B212, inventario!$A$2:$A$1001)), C212*_xlfn.XLOOKUP(B212,inventario!$A$2:$A$1001,inventario!$E$2:$E$1001), "")</f>
        <v/>
      </c>
    </row>
    <row r="213" spans="4:5" x14ac:dyDescent="0.25">
      <c r="D213" s="4" t="str">
        <f>IF(ISNUMBER(MATCH(B213, inventario!$A$2:$A$1001)), _xlfn.XLOOKUP(B213,inventario!$A$2:$A$1001,inventario!$E$2:$E$1001), "")</f>
        <v/>
      </c>
      <c r="E213" s="4" t="str">
        <f>IF(ISNUMBER(MATCH(B213, inventario!$A$2:$A$1001)), C213*_xlfn.XLOOKUP(B213,inventario!$A$2:$A$1001,inventario!$E$2:$E$1001), "")</f>
        <v/>
      </c>
    </row>
    <row r="214" spans="4:5" x14ac:dyDescent="0.25">
      <c r="D214" s="4" t="str">
        <f>IF(ISNUMBER(MATCH(B214, inventario!$A$2:$A$1001)), _xlfn.XLOOKUP(B214,inventario!$A$2:$A$1001,inventario!$E$2:$E$1001), "")</f>
        <v/>
      </c>
      <c r="E214" s="4" t="str">
        <f>IF(ISNUMBER(MATCH(B214, inventario!$A$2:$A$1001)), C214*_xlfn.XLOOKUP(B214,inventario!$A$2:$A$1001,inventario!$E$2:$E$1001), "")</f>
        <v/>
      </c>
    </row>
    <row r="215" spans="4:5" x14ac:dyDescent="0.25">
      <c r="D215" s="4" t="str">
        <f>IF(ISNUMBER(MATCH(B215, inventario!$A$2:$A$1001)), _xlfn.XLOOKUP(B215,inventario!$A$2:$A$1001,inventario!$E$2:$E$1001), "")</f>
        <v/>
      </c>
      <c r="E215" s="4" t="str">
        <f>IF(ISNUMBER(MATCH(B215, inventario!$A$2:$A$1001)), C215*_xlfn.XLOOKUP(B215,inventario!$A$2:$A$1001,inventario!$E$2:$E$1001), "")</f>
        <v/>
      </c>
    </row>
    <row r="216" spans="4:5" x14ac:dyDescent="0.25">
      <c r="D216" s="4" t="str">
        <f>IF(ISNUMBER(MATCH(B216, inventario!$A$2:$A$1001)), _xlfn.XLOOKUP(B216,inventario!$A$2:$A$1001,inventario!$E$2:$E$1001), "")</f>
        <v/>
      </c>
      <c r="E216" s="4" t="str">
        <f>IF(ISNUMBER(MATCH(B216, inventario!$A$2:$A$1001)), C216*_xlfn.XLOOKUP(B216,inventario!$A$2:$A$1001,inventario!$E$2:$E$1001), "")</f>
        <v/>
      </c>
    </row>
    <row r="217" spans="4:5" x14ac:dyDescent="0.25">
      <c r="D217" s="4" t="str">
        <f>IF(ISNUMBER(MATCH(B217, inventario!$A$2:$A$1001)), _xlfn.XLOOKUP(B217,inventario!$A$2:$A$1001,inventario!$E$2:$E$1001), "")</f>
        <v/>
      </c>
      <c r="E217" s="4" t="str">
        <f>IF(ISNUMBER(MATCH(B217, inventario!$A$2:$A$1001)), C217*_xlfn.XLOOKUP(B217,inventario!$A$2:$A$1001,inventario!$E$2:$E$1001), "")</f>
        <v/>
      </c>
    </row>
    <row r="218" spans="4:5" x14ac:dyDescent="0.25">
      <c r="D218" s="4" t="str">
        <f>IF(ISNUMBER(MATCH(B218, inventario!$A$2:$A$1001)), _xlfn.XLOOKUP(B218,inventario!$A$2:$A$1001,inventario!$E$2:$E$1001), "")</f>
        <v/>
      </c>
      <c r="E218" s="4" t="str">
        <f>IF(ISNUMBER(MATCH(B218, inventario!$A$2:$A$1001)), C218*_xlfn.XLOOKUP(B218,inventario!$A$2:$A$1001,inventario!$E$2:$E$1001), "")</f>
        <v/>
      </c>
    </row>
    <row r="219" spans="4:5" x14ac:dyDescent="0.25">
      <c r="D219" s="4" t="str">
        <f>IF(ISNUMBER(MATCH(B219, inventario!$A$2:$A$1001)), _xlfn.XLOOKUP(B219,inventario!$A$2:$A$1001,inventario!$E$2:$E$1001), "")</f>
        <v/>
      </c>
      <c r="E219" s="4" t="str">
        <f>IF(ISNUMBER(MATCH(B219, inventario!$A$2:$A$1001)), C219*_xlfn.XLOOKUP(B219,inventario!$A$2:$A$1001,inventario!$E$2:$E$1001), "")</f>
        <v/>
      </c>
    </row>
    <row r="220" spans="4:5" x14ac:dyDescent="0.25">
      <c r="D220" s="4" t="str">
        <f>IF(ISNUMBER(MATCH(B220, inventario!$A$2:$A$1001)), _xlfn.XLOOKUP(B220,inventario!$A$2:$A$1001,inventario!$E$2:$E$1001), "")</f>
        <v/>
      </c>
      <c r="E220" s="4" t="str">
        <f>IF(ISNUMBER(MATCH(B220, inventario!$A$2:$A$1001)), C220*_xlfn.XLOOKUP(B220,inventario!$A$2:$A$1001,inventario!$E$2:$E$1001), "")</f>
        <v/>
      </c>
    </row>
    <row r="221" spans="4:5" x14ac:dyDescent="0.25">
      <c r="D221" s="4" t="str">
        <f>IF(ISNUMBER(MATCH(B221, inventario!$A$2:$A$1001)), _xlfn.XLOOKUP(B221,inventario!$A$2:$A$1001,inventario!$E$2:$E$1001), "")</f>
        <v/>
      </c>
      <c r="E221" s="4" t="str">
        <f>IF(ISNUMBER(MATCH(B221, inventario!$A$2:$A$1001)), C221*_xlfn.XLOOKUP(B221,inventario!$A$2:$A$1001,inventario!$E$2:$E$1001), "")</f>
        <v/>
      </c>
    </row>
    <row r="222" spans="4:5" x14ac:dyDescent="0.25">
      <c r="D222" s="4" t="str">
        <f>IF(ISNUMBER(MATCH(B222, inventario!$A$2:$A$1001)), _xlfn.XLOOKUP(B222,inventario!$A$2:$A$1001,inventario!$E$2:$E$1001), "")</f>
        <v/>
      </c>
      <c r="E222" s="4" t="str">
        <f>IF(ISNUMBER(MATCH(B222, inventario!$A$2:$A$1001)), C222*_xlfn.XLOOKUP(B222,inventario!$A$2:$A$1001,inventario!$E$2:$E$1001), "")</f>
        <v/>
      </c>
    </row>
    <row r="223" spans="4:5" x14ac:dyDescent="0.25">
      <c r="D223" s="4" t="str">
        <f>IF(ISNUMBER(MATCH(B223, inventario!$A$2:$A$1001)), _xlfn.XLOOKUP(B223,inventario!$A$2:$A$1001,inventario!$E$2:$E$1001), "")</f>
        <v/>
      </c>
      <c r="E223" s="4" t="str">
        <f>IF(ISNUMBER(MATCH(B223, inventario!$A$2:$A$1001)), C223*_xlfn.XLOOKUP(B223,inventario!$A$2:$A$1001,inventario!$E$2:$E$1001), "")</f>
        <v/>
      </c>
    </row>
    <row r="224" spans="4:5" x14ac:dyDescent="0.25">
      <c r="D224" s="4" t="str">
        <f>IF(ISNUMBER(MATCH(B224, inventario!$A$2:$A$1001)), _xlfn.XLOOKUP(B224,inventario!$A$2:$A$1001,inventario!$E$2:$E$1001), "")</f>
        <v/>
      </c>
      <c r="E224" s="4" t="str">
        <f>IF(ISNUMBER(MATCH(B224, inventario!$A$2:$A$1001)), C224*_xlfn.XLOOKUP(B224,inventario!$A$2:$A$1001,inventario!$E$2:$E$1001), "")</f>
        <v/>
      </c>
    </row>
    <row r="225" spans="4:5" x14ac:dyDescent="0.25">
      <c r="D225" s="4" t="str">
        <f>IF(ISNUMBER(MATCH(B225, inventario!$A$2:$A$1001)), _xlfn.XLOOKUP(B225,inventario!$A$2:$A$1001,inventario!$E$2:$E$1001), "")</f>
        <v/>
      </c>
      <c r="E225" s="4" t="str">
        <f>IF(ISNUMBER(MATCH(B225, inventario!$A$2:$A$1001)), C225*_xlfn.XLOOKUP(B225,inventario!$A$2:$A$1001,inventario!$E$2:$E$1001), "")</f>
        <v/>
      </c>
    </row>
    <row r="226" spans="4:5" x14ac:dyDescent="0.25">
      <c r="D226" s="4" t="str">
        <f>IF(ISNUMBER(MATCH(B226, inventario!$A$2:$A$1001)), _xlfn.XLOOKUP(B226,inventario!$A$2:$A$1001,inventario!$E$2:$E$1001), "")</f>
        <v/>
      </c>
      <c r="E226" s="4" t="str">
        <f>IF(ISNUMBER(MATCH(B226, inventario!$A$2:$A$1001)), C226*_xlfn.XLOOKUP(B226,inventario!$A$2:$A$1001,inventario!$E$2:$E$1001), "")</f>
        <v/>
      </c>
    </row>
    <row r="227" spans="4:5" x14ac:dyDescent="0.25">
      <c r="D227" s="4" t="str">
        <f>IF(ISNUMBER(MATCH(B227, inventario!$A$2:$A$1001)), _xlfn.XLOOKUP(B227,inventario!$A$2:$A$1001,inventario!$E$2:$E$1001), "")</f>
        <v/>
      </c>
      <c r="E227" s="4" t="str">
        <f>IF(ISNUMBER(MATCH(B227, inventario!$A$2:$A$1001)), C227*_xlfn.XLOOKUP(B227,inventario!$A$2:$A$1001,inventario!$E$2:$E$1001), "")</f>
        <v/>
      </c>
    </row>
    <row r="228" spans="4:5" x14ac:dyDescent="0.25">
      <c r="D228" s="4" t="str">
        <f>IF(ISNUMBER(MATCH(B228, inventario!$A$2:$A$1001)), _xlfn.XLOOKUP(B228,inventario!$A$2:$A$1001,inventario!$E$2:$E$1001), "")</f>
        <v/>
      </c>
      <c r="E228" s="4" t="str">
        <f>IF(ISNUMBER(MATCH(B228, inventario!$A$2:$A$1001)), C228*_xlfn.XLOOKUP(B228,inventario!$A$2:$A$1001,inventario!$E$2:$E$1001), "")</f>
        <v/>
      </c>
    </row>
    <row r="229" spans="4:5" x14ac:dyDescent="0.25">
      <c r="D229" s="4" t="str">
        <f>IF(ISNUMBER(MATCH(B229, inventario!$A$2:$A$1001)), _xlfn.XLOOKUP(B229,inventario!$A$2:$A$1001,inventario!$E$2:$E$1001), "")</f>
        <v/>
      </c>
      <c r="E229" s="4" t="str">
        <f>IF(ISNUMBER(MATCH(B229, inventario!$A$2:$A$1001)), C229*_xlfn.XLOOKUP(B229,inventario!$A$2:$A$1001,inventario!$E$2:$E$1001), "")</f>
        <v/>
      </c>
    </row>
    <row r="230" spans="4:5" x14ac:dyDescent="0.25">
      <c r="D230" s="4" t="str">
        <f>IF(ISNUMBER(MATCH(B230, inventario!$A$2:$A$1001)), _xlfn.XLOOKUP(B230,inventario!$A$2:$A$1001,inventario!$E$2:$E$1001), "")</f>
        <v/>
      </c>
      <c r="E230" s="4" t="str">
        <f>IF(ISNUMBER(MATCH(B230, inventario!$A$2:$A$1001)), C230*_xlfn.XLOOKUP(B230,inventario!$A$2:$A$1001,inventario!$E$2:$E$1001), "")</f>
        <v/>
      </c>
    </row>
    <row r="231" spans="4:5" x14ac:dyDescent="0.25">
      <c r="D231" s="4" t="str">
        <f>IF(ISNUMBER(MATCH(B231, inventario!$A$2:$A$1001)), _xlfn.XLOOKUP(B231,inventario!$A$2:$A$1001,inventario!$E$2:$E$1001), "")</f>
        <v/>
      </c>
      <c r="E231" s="4" t="str">
        <f>IF(ISNUMBER(MATCH(B231, inventario!$A$2:$A$1001)), C231*_xlfn.XLOOKUP(B231,inventario!$A$2:$A$1001,inventario!$E$2:$E$1001), "")</f>
        <v/>
      </c>
    </row>
    <row r="232" spans="4:5" x14ac:dyDescent="0.25">
      <c r="D232" s="4" t="str">
        <f>IF(ISNUMBER(MATCH(B232, inventario!$A$2:$A$1001)), _xlfn.XLOOKUP(B232,inventario!$A$2:$A$1001,inventario!$E$2:$E$1001), "")</f>
        <v/>
      </c>
      <c r="E232" s="4" t="str">
        <f>IF(ISNUMBER(MATCH(B232, inventario!$A$2:$A$1001)), C232*_xlfn.XLOOKUP(B232,inventario!$A$2:$A$1001,inventario!$E$2:$E$1001), "")</f>
        <v/>
      </c>
    </row>
    <row r="233" spans="4:5" x14ac:dyDescent="0.25">
      <c r="D233" s="4" t="str">
        <f>IF(ISNUMBER(MATCH(B233, inventario!$A$2:$A$1001)), _xlfn.XLOOKUP(B233,inventario!$A$2:$A$1001,inventario!$E$2:$E$1001), "")</f>
        <v/>
      </c>
      <c r="E233" s="4" t="str">
        <f>IF(ISNUMBER(MATCH(B233, inventario!$A$2:$A$1001)), C233*_xlfn.XLOOKUP(B233,inventario!$A$2:$A$1001,inventario!$E$2:$E$1001), "")</f>
        <v/>
      </c>
    </row>
    <row r="234" spans="4:5" x14ac:dyDescent="0.25">
      <c r="D234" s="4" t="str">
        <f>IF(ISNUMBER(MATCH(B234, inventario!$A$2:$A$1001)), _xlfn.XLOOKUP(B234,inventario!$A$2:$A$1001,inventario!$E$2:$E$1001), "")</f>
        <v/>
      </c>
      <c r="E234" s="4" t="str">
        <f>IF(ISNUMBER(MATCH(B234, inventario!$A$2:$A$1001)), C234*_xlfn.XLOOKUP(B234,inventario!$A$2:$A$1001,inventario!$E$2:$E$1001), "")</f>
        <v/>
      </c>
    </row>
    <row r="235" spans="4:5" x14ac:dyDescent="0.25">
      <c r="D235" s="4" t="str">
        <f>IF(ISNUMBER(MATCH(B235, inventario!$A$2:$A$1001)), _xlfn.XLOOKUP(B235,inventario!$A$2:$A$1001,inventario!$E$2:$E$1001), "")</f>
        <v/>
      </c>
      <c r="E235" s="4" t="str">
        <f>IF(ISNUMBER(MATCH(B235, inventario!$A$2:$A$1001)), C235*_xlfn.XLOOKUP(B235,inventario!$A$2:$A$1001,inventario!$E$2:$E$1001), "")</f>
        <v/>
      </c>
    </row>
    <row r="236" spans="4:5" x14ac:dyDescent="0.25">
      <c r="D236" s="4" t="str">
        <f>IF(ISNUMBER(MATCH(B236, inventario!$A$2:$A$1001)), _xlfn.XLOOKUP(B236,inventario!$A$2:$A$1001,inventario!$E$2:$E$1001), "")</f>
        <v/>
      </c>
      <c r="E236" s="4" t="str">
        <f>IF(ISNUMBER(MATCH(B236, inventario!$A$2:$A$1001)), C236*_xlfn.XLOOKUP(B236,inventario!$A$2:$A$1001,inventario!$E$2:$E$1001), "")</f>
        <v/>
      </c>
    </row>
    <row r="237" spans="4:5" x14ac:dyDescent="0.25">
      <c r="D237" s="4" t="str">
        <f>IF(ISNUMBER(MATCH(B237, inventario!$A$2:$A$1001)), _xlfn.XLOOKUP(B237,inventario!$A$2:$A$1001,inventario!$E$2:$E$1001), "")</f>
        <v/>
      </c>
      <c r="E237" s="4" t="str">
        <f>IF(ISNUMBER(MATCH(B237, inventario!$A$2:$A$1001)), C237*_xlfn.XLOOKUP(B237,inventario!$A$2:$A$1001,inventario!$E$2:$E$1001), "")</f>
        <v/>
      </c>
    </row>
    <row r="238" spans="4:5" x14ac:dyDescent="0.25">
      <c r="D238" s="4" t="str">
        <f>IF(ISNUMBER(MATCH(B238, inventario!$A$2:$A$1001)), _xlfn.XLOOKUP(B238,inventario!$A$2:$A$1001,inventario!$E$2:$E$1001), "")</f>
        <v/>
      </c>
      <c r="E238" s="4" t="str">
        <f>IF(ISNUMBER(MATCH(B238, inventario!$A$2:$A$1001)), C238*_xlfn.XLOOKUP(B238,inventario!$A$2:$A$1001,inventario!$E$2:$E$1001), "")</f>
        <v/>
      </c>
    </row>
    <row r="239" spans="4:5" x14ac:dyDescent="0.25">
      <c r="D239" s="4" t="str">
        <f>IF(ISNUMBER(MATCH(B239, inventario!$A$2:$A$1001)), _xlfn.XLOOKUP(B239,inventario!$A$2:$A$1001,inventario!$E$2:$E$1001), "")</f>
        <v/>
      </c>
      <c r="E239" s="4" t="str">
        <f>IF(ISNUMBER(MATCH(B239, inventario!$A$2:$A$1001)), C239*_xlfn.XLOOKUP(B239,inventario!$A$2:$A$1001,inventario!$E$2:$E$1001), "")</f>
        <v/>
      </c>
    </row>
    <row r="240" spans="4:5" x14ac:dyDescent="0.25">
      <c r="D240" s="4" t="str">
        <f>IF(ISNUMBER(MATCH(B240, inventario!$A$2:$A$1001)), _xlfn.XLOOKUP(B240,inventario!$A$2:$A$1001,inventario!$E$2:$E$1001), "")</f>
        <v/>
      </c>
      <c r="E240" s="4" t="str">
        <f>IF(ISNUMBER(MATCH(B240, inventario!$A$2:$A$1001)), C240*_xlfn.XLOOKUP(B240,inventario!$A$2:$A$1001,inventario!$E$2:$E$1001), "")</f>
        <v/>
      </c>
    </row>
    <row r="241" spans="4:5" x14ac:dyDescent="0.25">
      <c r="D241" s="4" t="str">
        <f>IF(ISNUMBER(MATCH(B241, inventario!$A$2:$A$1001)), _xlfn.XLOOKUP(B241,inventario!$A$2:$A$1001,inventario!$E$2:$E$1001), "")</f>
        <v/>
      </c>
      <c r="E241" s="4" t="str">
        <f>IF(ISNUMBER(MATCH(B241, inventario!$A$2:$A$1001)), C241*_xlfn.XLOOKUP(B241,inventario!$A$2:$A$1001,inventario!$E$2:$E$1001), "")</f>
        <v/>
      </c>
    </row>
    <row r="242" spans="4:5" x14ac:dyDescent="0.25">
      <c r="D242" s="4" t="str">
        <f>IF(ISNUMBER(MATCH(B242, inventario!$A$2:$A$1001)), _xlfn.XLOOKUP(B242,inventario!$A$2:$A$1001,inventario!$E$2:$E$1001), "")</f>
        <v/>
      </c>
      <c r="E242" s="4" t="str">
        <f>IF(ISNUMBER(MATCH(B242, inventario!$A$2:$A$1001)), C242*_xlfn.XLOOKUP(B242,inventario!$A$2:$A$1001,inventario!$E$2:$E$1001), "")</f>
        <v/>
      </c>
    </row>
    <row r="243" spans="4:5" x14ac:dyDescent="0.25">
      <c r="D243" s="4" t="str">
        <f>IF(ISNUMBER(MATCH(B243, inventario!$A$2:$A$1001)), _xlfn.XLOOKUP(B243,inventario!$A$2:$A$1001,inventario!$E$2:$E$1001), "")</f>
        <v/>
      </c>
      <c r="E243" s="4" t="str">
        <f>IF(ISNUMBER(MATCH(B243, inventario!$A$2:$A$1001)), C243*_xlfn.XLOOKUP(B243,inventario!$A$2:$A$1001,inventario!$E$2:$E$1001), "")</f>
        <v/>
      </c>
    </row>
    <row r="244" spans="4:5" x14ac:dyDescent="0.25">
      <c r="D244" s="4" t="str">
        <f>IF(ISNUMBER(MATCH(B244, inventario!$A$2:$A$1001)), _xlfn.XLOOKUP(B244,inventario!$A$2:$A$1001,inventario!$E$2:$E$1001), "")</f>
        <v/>
      </c>
      <c r="E244" s="4" t="str">
        <f>IF(ISNUMBER(MATCH(B244, inventario!$A$2:$A$1001)), C244*_xlfn.XLOOKUP(B244,inventario!$A$2:$A$1001,inventario!$E$2:$E$1001), "")</f>
        <v/>
      </c>
    </row>
    <row r="245" spans="4:5" x14ac:dyDescent="0.25">
      <c r="D245" s="4" t="str">
        <f>IF(ISNUMBER(MATCH(B245, inventario!$A$2:$A$1001)), _xlfn.XLOOKUP(B245,inventario!$A$2:$A$1001,inventario!$E$2:$E$1001), "")</f>
        <v/>
      </c>
      <c r="E245" s="4" t="str">
        <f>IF(ISNUMBER(MATCH(B245, inventario!$A$2:$A$1001)), C245*_xlfn.XLOOKUP(B245,inventario!$A$2:$A$1001,inventario!$E$2:$E$1001), "")</f>
        <v/>
      </c>
    </row>
    <row r="246" spans="4:5" x14ac:dyDescent="0.25">
      <c r="D246" s="4" t="str">
        <f>IF(ISNUMBER(MATCH(B246, inventario!$A$2:$A$1001)), _xlfn.XLOOKUP(B246,inventario!$A$2:$A$1001,inventario!$E$2:$E$1001), "")</f>
        <v/>
      </c>
      <c r="E246" s="4" t="str">
        <f>IF(ISNUMBER(MATCH(B246, inventario!$A$2:$A$1001)), C246*_xlfn.XLOOKUP(B246,inventario!$A$2:$A$1001,inventario!$E$2:$E$1001), "")</f>
        <v/>
      </c>
    </row>
    <row r="247" spans="4:5" x14ac:dyDescent="0.25">
      <c r="D247" s="4" t="str">
        <f>IF(ISNUMBER(MATCH(B247, inventario!$A$2:$A$1001)), _xlfn.XLOOKUP(B247,inventario!$A$2:$A$1001,inventario!$E$2:$E$1001), "")</f>
        <v/>
      </c>
      <c r="E247" s="4" t="str">
        <f>IF(ISNUMBER(MATCH(B247, inventario!$A$2:$A$1001)), C247*_xlfn.XLOOKUP(B247,inventario!$A$2:$A$1001,inventario!$E$2:$E$1001), "")</f>
        <v/>
      </c>
    </row>
    <row r="248" spans="4:5" x14ac:dyDescent="0.25">
      <c r="D248" s="4" t="str">
        <f>IF(ISNUMBER(MATCH(B248, inventario!$A$2:$A$1001)), _xlfn.XLOOKUP(B248,inventario!$A$2:$A$1001,inventario!$E$2:$E$1001), "")</f>
        <v/>
      </c>
      <c r="E248" s="4" t="str">
        <f>IF(ISNUMBER(MATCH(B248, inventario!$A$2:$A$1001)), C248*_xlfn.XLOOKUP(B248,inventario!$A$2:$A$1001,inventario!$E$2:$E$1001), "")</f>
        <v/>
      </c>
    </row>
    <row r="249" spans="4:5" x14ac:dyDescent="0.25">
      <c r="D249" s="4" t="str">
        <f>IF(ISNUMBER(MATCH(B249, inventario!$A$2:$A$1001)), _xlfn.XLOOKUP(B249,inventario!$A$2:$A$1001,inventario!$E$2:$E$1001), "")</f>
        <v/>
      </c>
      <c r="E249" s="4" t="str">
        <f>IF(ISNUMBER(MATCH(B249, inventario!$A$2:$A$1001)), C249*_xlfn.XLOOKUP(B249,inventario!$A$2:$A$1001,inventario!$E$2:$E$1001), "")</f>
        <v/>
      </c>
    </row>
    <row r="250" spans="4:5" x14ac:dyDescent="0.25">
      <c r="D250" s="4" t="str">
        <f>IF(ISNUMBER(MATCH(B250, inventario!$A$2:$A$1001)), _xlfn.XLOOKUP(B250,inventario!$A$2:$A$1001,inventario!$E$2:$E$1001), "")</f>
        <v/>
      </c>
      <c r="E250" s="4" t="str">
        <f>IF(ISNUMBER(MATCH(B250, inventario!$A$2:$A$1001)), C250*_xlfn.XLOOKUP(B250,inventario!$A$2:$A$1001,inventario!$E$2:$E$1001), "")</f>
        <v/>
      </c>
    </row>
    <row r="251" spans="4:5" x14ac:dyDescent="0.25">
      <c r="D251" s="4" t="str">
        <f>IF(ISNUMBER(MATCH(B251, inventario!$A$2:$A$1001)), _xlfn.XLOOKUP(B251,inventario!$A$2:$A$1001,inventario!$E$2:$E$1001), "")</f>
        <v/>
      </c>
      <c r="E251" s="4" t="str">
        <f>IF(ISNUMBER(MATCH(B251, inventario!$A$2:$A$1001)), C251*_xlfn.XLOOKUP(B251,inventario!$A$2:$A$1001,inventario!$E$2:$E$1001), "")</f>
        <v/>
      </c>
    </row>
    <row r="252" spans="4:5" x14ac:dyDescent="0.25">
      <c r="D252" s="4" t="str">
        <f>IF(ISNUMBER(MATCH(B252, inventario!$A$2:$A$1001)), _xlfn.XLOOKUP(B252,inventario!$A$2:$A$1001,inventario!$E$2:$E$1001), "")</f>
        <v/>
      </c>
      <c r="E252" s="4" t="str">
        <f>IF(ISNUMBER(MATCH(B252, inventario!$A$2:$A$1001)), C252*_xlfn.XLOOKUP(B252,inventario!$A$2:$A$1001,inventario!$E$2:$E$1001), "")</f>
        <v/>
      </c>
    </row>
    <row r="253" spans="4:5" x14ac:dyDescent="0.25">
      <c r="D253" s="4" t="str">
        <f>IF(ISNUMBER(MATCH(B253, inventario!$A$2:$A$1001)), _xlfn.XLOOKUP(B253,inventario!$A$2:$A$1001,inventario!$E$2:$E$1001), "")</f>
        <v/>
      </c>
      <c r="E253" s="4" t="str">
        <f>IF(ISNUMBER(MATCH(B253, inventario!$A$2:$A$1001)), C253*_xlfn.XLOOKUP(B253,inventario!$A$2:$A$1001,inventario!$E$2:$E$1001), "")</f>
        <v/>
      </c>
    </row>
    <row r="254" spans="4:5" x14ac:dyDescent="0.25">
      <c r="D254" s="4" t="str">
        <f>IF(ISNUMBER(MATCH(B254, inventario!$A$2:$A$1001)), _xlfn.XLOOKUP(B254,inventario!$A$2:$A$1001,inventario!$E$2:$E$1001), "")</f>
        <v/>
      </c>
      <c r="E254" s="4" t="str">
        <f>IF(ISNUMBER(MATCH(B254, inventario!$A$2:$A$1001)), C254*_xlfn.XLOOKUP(B254,inventario!$A$2:$A$1001,inventario!$E$2:$E$1001), "")</f>
        <v/>
      </c>
    </row>
    <row r="255" spans="4:5" x14ac:dyDescent="0.25">
      <c r="D255" s="4" t="str">
        <f>IF(ISNUMBER(MATCH(B255, inventario!$A$2:$A$1001)), _xlfn.XLOOKUP(B255,inventario!$A$2:$A$1001,inventario!$E$2:$E$1001), "")</f>
        <v/>
      </c>
      <c r="E255" s="4" t="str">
        <f>IF(ISNUMBER(MATCH(B255, inventario!$A$2:$A$1001)), C255*_xlfn.XLOOKUP(B255,inventario!$A$2:$A$1001,inventario!$E$2:$E$1001), "")</f>
        <v/>
      </c>
    </row>
    <row r="256" spans="4:5" x14ac:dyDescent="0.25">
      <c r="D256" s="4" t="str">
        <f>IF(ISNUMBER(MATCH(B256, inventario!$A$2:$A$1001)), _xlfn.XLOOKUP(B256,inventario!$A$2:$A$1001,inventario!$E$2:$E$1001), "")</f>
        <v/>
      </c>
      <c r="E256" s="4" t="str">
        <f>IF(ISNUMBER(MATCH(B256, inventario!$A$2:$A$1001)), C256*_xlfn.XLOOKUP(B256,inventario!$A$2:$A$1001,inventario!$E$2:$E$1001), "")</f>
        <v/>
      </c>
    </row>
    <row r="257" spans="4:5" x14ac:dyDescent="0.25">
      <c r="D257" s="4" t="str">
        <f>IF(ISNUMBER(MATCH(B257, inventario!$A$2:$A$1001)), _xlfn.XLOOKUP(B257,inventario!$A$2:$A$1001,inventario!$E$2:$E$1001), "")</f>
        <v/>
      </c>
      <c r="E257" s="4" t="str">
        <f>IF(ISNUMBER(MATCH(B257, inventario!$A$2:$A$1001)), C257*_xlfn.XLOOKUP(B257,inventario!$A$2:$A$1001,inventario!$E$2:$E$1001), "")</f>
        <v/>
      </c>
    </row>
    <row r="258" spans="4:5" x14ac:dyDescent="0.25">
      <c r="D258" s="4" t="str">
        <f>IF(ISNUMBER(MATCH(B258, inventario!$A$2:$A$1001)), _xlfn.XLOOKUP(B258,inventario!$A$2:$A$1001,inventario!$E$2:$E$1001), "")</f>
        <v/>
      </c>
      <c r="E258" s="4" t="str">
        <f>IF(ISNUMBER(MATCH(B258, inventario!$A$2:$A$1001)), C258*_xlfn.XLOOKUP(B258,inventario!$A$2:$A$1001,inventario!$E$2:$E$1001), "")</f>
        <v/>
      </c>
    </row>
    <row r="259" spans="4:5" x14ac:dyDescent="0.25">
      <c r="D259" s="4" t="str">
        <f>IF(ISNUMBER(MATCH(B259, inventario!$A$2:$A$1001)), _xlfn.XLOOKUP(B259,inventario!$A$2:$A$1001,inventario!$E$2:$E$1001), "")</f>
        <v/>
      </c>
      <c r="E259" s="4" t="str">
        <f>IF(ISNUMBER(MATCH(B259, inventario!$A$2:$A$1001)), C259*_xlfn.XLOOKUP(B259,inventario!$A$2:$A$1001,inventario!$E$2:$E$1001), "")</f>
        <v/>
      </c>
    </row>
    <row r="260" spans="4:5" x14ac:dyDescent="0.25">
      <c r="D260" s="4" t="str">
        <f>IF(ISNUMBER(MATCH(B260, inventario!$A$2:$A$1001)), _xlfn.XLOOKUP(B260,inventario!$A$2:$A$1001,inventario!$E$2:$E$1001), "")</f>
        <v/>
      </c>
      <c r="E260" s="4" t="str">
        <f>IF(ISNUMBER(MATCH(B260, inventario!$A$2:$A$1001)), C260*_xlfn.XLOOKUP(B260,inventario!$A$2:$A$1001,inventario!$E$2:$E$1001), "")</f>
        <v/>
      </c>
    </row>
    <row r="261" spans="4:5" x14ac:dyDescent="0.25">
      <c r="D261" s="4" t="str">
        <f>IF(ISNUMBER(MATCH(B261, inventario!$A$2:$A$1001)), _xlfn.XLOOKUP(B261,inventario!$A$2:$A$1001,inventario!$E$2:$E$1001), "")</f>
        <v/>
      </c>
      <c r="E261" s="4" t="str">
        <f>IF(ISNUMBER(MATCH(B261, inventario!$A$2:$A$1001)), C261*_xlfn.XLOOKUP(B261,inventario!$A$2:$A$1001,inventario!$E$2:$E$1001), "")</f>
        <v/>
      </c>
    </row>
    <row r="262" spans="4:5" x14ac:dyDescent="0.25">
      <c r="D262" s="4" t="str">
        <f>IF(ISNUMBER(MATCH(B262, inventario!$A$2:$A$1001)), _xlfn.XLOOKUP(B262,inventario!$A$2:$A$1001,inventario!$E$2:$E$1001), "")</f>
        <v/>
      </c>
      <c r="E262" s="4" t="str">
        <f>IF(ISNUMBER(MATCH(B262, inventario!$A$2:$A$1001)), C262*_xlfn.XLOOKUP(B262,inventario!$A$2:$A$1001,inventario!$E$2:$E$1001), "")</f>
        <v/>
      </c>
    </row>
    <row r="263" spans="4:5" x14ac:dyDescent="0.25">
      <c r="D263" s="4" t="str">
        <f>IF(ISNUMBER(MATCH(B263, inventario!$A$2:$A$1001)), _xlfn.XLOOKUP(B263,inventario!$A$2:$A$1001,inventario!$E$2:$E$1001), "")</f>
        <v/>
      </c>
      <c r="E263" s="4" t="str">
        <f>IF(ISNUMBER(MATCH(B263, inventario!$A$2:$A$1001)), C263*_xlfn.XLOOKUP(B263,inventario!$A$2:$A$1001,inventario!$E$2:$E$1001), "")</f>
        <v/>
      </c>
    </row>
    <row r="264" spans="4:5" x14ac:dyDescent="0.25">
      <c r="D264" s="4" t="str">
        <f>IF(ISNUMBER(MATCH(B264, inventario!$A$2:$A$1001)), _xlfn.XLOOKUP(B264,inventario!$A$2:$A$1001,inventario!$E$2:$E$1001), "")</f>
        <v/>
      </c>
      <c r="E264" s="4" t="str">
        <f>IF(ISNUMBER(MATCH(B264, inventario!$A$2:$A$1001)), C264*_xlfn.XLOOKUP(B264,inventario!$A$2:$A$1001,inventario!$E$2:$E$1001), "")</f>
        <v/>
      </c>
    </row>
    <row r="265" spans="4:5" x14ac:dyDescent="0.25">
      <c r="D265" s="4" t="str">
        <f>IF(ISNUMBER(MATCH(B265, inventario!$A$2:$A$1001)), _xlfn.XLOOKUP(B265,inventario!$A$2:$A$1001,inventario!$E$2:$E$1001), "")</f>
        <v/>
      </c>
      <c r="E265" s="4" t="str">
        <f>IF(ISNUMBER(MATCH(B265, inventario!$A$2:$A$1001)), C265*_xlfn.XLOOKUP(B265,inventario!$A$2:$A$1001,inventario!$E$2:$E$1001), "")</f>
        <v/>
      </c>
    </row>
    <row r="266" spans="4:5" x14ac:dyDescent="0.25">
      <c r="D266" s="4" t="str">
        <f>IF(ISNUMBER(MATCH(B266, inventario!$A$2:$A$1001)), _xlfn.XLOOKUP(B266,inventario!$A$2:$A$1001,inventario!$E$2:$E$1001), "")</f>
        <v/>
      </c>
      <c r="E266" s="4" t="str">
        <f>IF(ISNUMBER(MATCH(B266, inventario!$A$2:$A$1001)), C266*_xlfn.XLOOKUP(B266,inventario!$A$2:$A$1001,inventario!$E$2:$E$1001), "")</f>
        <v/>
      </c>
    </row>
    <row r="267" spans="4:5" x14ac:dyDescent="0.25">
      <c r="D267" s="4" t="str">
        <f>IF(ISNUMBER(MATCH(B267, inventario!$A$2:$A$1001)), _xlfn.XLOOKUP(B267,inventario!$A$2:$A$1001,inventario!$E$2:$E$1001), "")</f>
        <v/>
      </c>
      <c r="E267" s="4" t="str">
        <f>IF(ISNUMBER(MATCH(B267, inventario!$A$2:$A$1001)), C267*_xlfn.XLOOKUP(B267,inventario!$A$2:$A$1001,inventario!$E$2:$E$1001), "")</f>
        <v/>
      </c>
    </row>
    <row r="268" spans="4:5" x14ac:dyDescent="0.25">
      <c r="D268" s="4" t="str">
        <f>IF(ISNUMBER(MATCH(B268, inventario!$A$2:$A$1001)), _xlfn.XLOOKUP(B268,inventario!$A$2:$A$1001,inventario!$E$2:$E$1001), "")</f>
        <v/>
      </c>
      <c r="E268" s="4" t="str">
        <f>IF(ISNUMBER(MATCH(B268, inventario!$A$2:$A$1001)), C268*_xlfn.XLOOKUP(B268,inventario!$A$2:$A$1001,inventario!$E$2:$E$1001), "")</f>
        <v/>
      </c>
    </row>
    <row r="269" spans="4:5" x14ac:dyDescent="0.25">
      <c r="D269" s="4" t="str">
        <f>IF(ISNUMBER(MATCH(B269, inventario!$A$2:$A$1001)), _xlfn.XLOOKUP(B269,inventario!$A$2:$A$1001,inventario!$E$2:$E$1001), "")</f>
        <v/>
      </c>
      <c r="E269" s="4" t="str">
        <f>IF(ISNUMBER(MATCH(B269, inventario!$A$2:$A$1001)), C269*_xlfn.XLOOKUP(B269,inventario!$A$2:$A$1001,inventario!$E$2:$E$1001), "")</f>
        <v/>
      </c>
    </row>
    <row r="270" spans="4:5" x14ac:dyDescent="0.25">
      <c r="D270" s="4" t="str">
        <f>IF(ISNUMBER(MATCH(B270, inventario!$A$2:$A$1001)), _xlfn.XLOOKUP(B270,inventario!$A$2:$A$1001,inventario!$E$2:$E$1001), "")</f>
        <v/>
      </c>
      <c r="E270" s="4" t="str">
        <f>IF(ISNUMBER(MATCH(B270, inventario!$A$2:$A$1001)), C270*_xlfn.XLOOKUP(B270,inventario!$A$2:$A$1001,inventario!$E$2:$E$1001), "")</f>
        <v/>
      </c>
    </row>
    <row r="271" spans="4:5" x14ac:dyDescent="0.25">
      <c r="D271" s="4" t="str">
        <f>IF(ISNUMBER(MATCH(B271, inventario!$A$2:$A$1001)), _xlfn.XLOOKUP(B271,inventario!$A$2:$A$1001,inventario!$E$2:$E$1001), "")</f>
        <v/>
      </c>
      <c r="E271" s="4" t="str">
        <f>IF(ISNUMBER(MATCH(B271, inventario!$A$2:$A$1001)), C271*_xlfn.XLOOKUP(B271,inventario!$A$2:$A$1001,inventario!$E$2:$E$1001), "")</f>
        <v/>
      </c>
    </row>
    <row r="272" spans="4:5" x14ac:dyDescent="0.25">
      <c r="D272" s="4" t="str">
        <f>IF(ISNUMBER(MATCH(B272, inventario!$A$2:$A$1001)), _xlfn.XLOOKUP(B272,inventario!$A$2:$A$1001,inventario!$E$2:$E$1001), "")</f>
        <v/>
      </c>
      <c r="E272" s="4" t="str">
        <f>IF(ISNUMBER(MATCH(B272, inventario!$A$2:$A$1001)), C272*_xlfn.XLOOKUP(B272,inventario!$A$2:$A$1001,inventario!$E$2:$E$1001), "")</f>
        <v/>
      </c>
    </row>
    <row r="273" spans="4:5" x14ac:dyDescent="0.25">
      <c r="D273" s="4" t="str">
        <f>IF(ISNUMBER(MATCH(B273, inventario!$A$2:$A$1001)), _xlfn.XLOOKUP(B273,inventario!$A$2:$A$1001,inventario!$E$2:$E$1001), "")</f>
        <v/>
      </c>
      <c r="E273" s="4" t="str">
        <f>IF(ISNUMBER(MATCH(B273, inventario!$A$2:$A$1001)), C273*_xlfn.XLOOKUP(B273,inventario!$A$2:$A$1001,inventario!$E$2:$E$1001), "")</f>
        <v/>
      </c>
    </row>
    <row r="274" spans="4:5" x14ac:dyDescent="0.25">
      <c r="D274" s="4" t="str">
        <f>IF(ISNUMBER(MATCH(B274, inventario!$A$2:$A$1001)), _xlfn.XLOOKUP(B274,inventario!$A$2:$A$1001,inventario!$E$2:$E$1001), "")</f>
        <v/>
      </c>
      <c r="E274" s="4" t="str">
        <f>IF(ISNUMBER(MATCH(B274, inventario!$A$2:$A$1001)), C274*_xlfn.XLOOKUP(B274,inventario!$A$2:$A$1001,inventario!$E$2:$E$1001), "")</f>
        <v/>
      </c>
    </row>
    <row r="275" spans="4:5" x14ac:dyDescent="0.25">
      <c r="D275" s="4" t="str">
        <f>IF(ISNUMBER(MATCH(B275, inventario!$A$2:$A$1001)), _xlfn.XLOOKUP(B275,inventario!$A$2:$A$1001,inventario!$E$2:$E$1001), "")</f>
        <v/>
      </c>
      <c r="E275" s="4" t="str">
        <f>IF(ISNUMBER(MATCH(B275, inventario!$A$2:$A$1001)), C275*_xlfn.XLOOKUP(B275,inventario!$A$2:$A$1001,inventario!$E$2:$E$1001), "")</f>
        <v/>
      </c>
    </row>
    <row r="276" spans="4:5" x14ac:dyDescent="0.25">
      <c r="D276" s="4" t="str">
        <f>IF(ISNUMBER(MATCH(B276, inventario!$A$2:$A$1001)), _xlfn.XLOOKUP(B276,inventario!$A$2:$A$1001,inventario!$E$2:$E$1001), "")</f>
        <v/>
      </c>
      <c r="E276" s="4" t="str">
        <f>IF(ISNUMBER(MATCH(B276, inventario!$A$2:$A$1001)), C276*_xlfn.XLOOKUP(B276,inventario!$A$2:$A$1001,inventario!$E$2:$E$1001), "")</f>
        <v/>
      </c>
    </row>
    <row r="277" spans="4:5" x14ac:dyDescent="0.25">
      <c r="D277" s="4" t="str">
        <f>IF(ISNUMBER(MATCH(B277, inventario!$A$2:$A$1001)), _xlfn.XLOOKUP(B277,inventario!$A$2:$A$1001,inventario!$E$2:$E$1001), "")</f>
        <v/>
      </c>
      <c r="E277" s="4" t="str">
        <f>IF(ISNUMBER(MATCH(B277, inventario!$A$2:$A$1001)), C277*_xlfn.XLOOKUP(B277,inventario!$A$2:$A$1001,inventario!$E$2:$E$1001), "")</f>
        <v/>
      </c>
    </row>
    <row r="278" spans="4:5" x14ac:dyDescent="0.25">
      <c r="D278" s="4" t="str">
        <f>IF(ISNUMBER(MATCH(B278, inventario!$A$2:$A$1001)), _xlfn.XLOOKUP(B278,inventario!$A$2:$A$1001,inventario!$E$2:$E$1001), "")</f>
        <v/>
      </c>
      <c r="E278" s="4" t="str">
        <f>IF(ISNUMBER(MATCH(B278, inventario!$A$2:$A$1001)), C278*_xlfn.XLOOKUP(B278,inventario!$A$2:$A$1001,inventario!$E$2:$E$1001), "")</f>
        <v/>
      </c>
    </row>
    <row r="279" spans="4:5" x14ac:dyDescent="0.25">
      <c r="D279" s="4" t="str">
        <f>IF(ISNUMBER(MATCH(B279, inventario!$A$2:$A$1001)), _xlfn.XLOOKUP(B279,inventario!$A$2:$A$1001,inventario!$E$2:$E$1001), "")</f>
        <v/>
      </c>
      <c r="E279" s="4" t="str">
        <f>IF(ISNUMBER(MATCH(B279, inventario!$A$2:$A$1001)), C279*_xlfn.XLOOKUP(B279,inventario!$A$2:$A$1001,inventario!$E$2:$E$1001), "")</f>
        <v/>
      </c>
    </row>
    <row r="280" spans="4:5" x14ac:dyDescent="0.25">
      <c r="D280" s="4" t="str">
        <f>IF(ISNUMBER(MATCH(B280, inventario!$A$2:$A$1001)), _xlfn.XLOOKUP(B280,inventario!$A$2:$A$1001,inventario!$E$2:$E$1001), "")</f>
        <v/>
      </c>
      <c r="E280" s="4" t="str">
        <f>IF(ISNUMBER(MATCH(B280, inventario!$A$2:$A$1001)), C280*_xlfn.XLOOKUP(B280,inventario!$A$2:$A$1001,inventario!$E$2:$E$1001), "")</f>
        <v/>
      </c>
    </row>
    <row r="281" spans="4:5" x14ac:dyDescent="0.25">
      <c r="D281" s="4" t="str">
        <f>IF(ISNUMBER(MATCH(B281, inventario!$A$2:$A$1001)), _xlfn.XLOOKUP(B281,inventario!$A$2:$A$1001,inventario!$E$2:$E$1001), "")</f>
        <v/>
      </c>
      <c r="E281" s="4" t="str">
        <f>IF(ISNUMBER(MATCH(B281, inventario!$A$2:$A$1001)), C281*_xlfn.XLOOKUP(B281,inventario!$A$2:$A$1001,inventario!$E$2:$E$1001), "")</f>
        <v/>
      </c>
    </row>
    <row r="282" spans="4:5" x14ac:dyDescent="0.25">
      <c r="D282" s="4" t="str">
        <f>IF(ISNUMBER(MATCH(B282, inventario!$A$2:$A$1001)), _xlfn.XLOOKUP(B282,inventario!$A$2:$A$1001,inventario!$E$2:$E$1001), "")</f>
        <v/>
      </c>
      <c r="E282" s="4" t="str">
        <f>IF(ISNUMBER(MATCH(B282, inventario!$A$2:$A$1001)), C282*_xlfn.XLOOKUP(B282,inventario!$A$2:$A$1001,inventario!$E$2:$E$1001), "")</f>
        <v/>
      </c>
    </row>
    <row r="283" spans="4:5" x14ac:dyDescent="0.25">
      <c r="D283" s="4" t="str">
        <f>IF(ISNUMBER(MATCH(B283, inventario!$A$2:$A$1001)), _xlfn.XLOOKUP(B283,inventario!$A$2:$A$1001,inventario!$E$2:$E$1001), "")</f>
        <v/>
      </c>
      <c r="E283" s="4" t="str">
        <f>IF(ISNUMBER(MATCH(B283, inventario!$A$2:$A$1001)), C283*_xlfn.XLOOKUP(B283,inventario!$A$2:$A$1001,inventario!$E$2:$E$1001), "")</f>
        <v/>
      </c>
    </row>
    <row r="284" spans="4:5" x14ac:dyDescent="0.25">
      <c r="D284" s="4" t="str">
        <f>IF(ISNUMBER(MATCH(B284, inventario!$A$2:$A$1001)), _xlfn.XLOOKUP(B284,inventario!$A$2:$A$1001,inventario!$E$2:$E$1001), "")</f>
        <v/>
      </c>
      <c r="E284" s="4" t="str">
        <f>IF(ISNUMBER(MATCH(B284, inventario!$A$2:$A$1001)), C284*_xlfn.XLOOKUP(B284,inventario!$A$2:$A$1001,inventario!$E$2:$E$1001), "")</f>
        <v/>
      </c>
    </row>
    <row r="285" spans="4:5" x14ac:dyDescent="0.25">
      <c r="D285" s="4" t="str">
        <f>IF(ISNUMBER(MATCH(B285, inventario!$A$2:$A$1001)), _xlfn.XLOOKUP(B285,inventario!$A$2:$A$1001,inventario!$E$2:$E$1001), "")</f>
        <v/>
      </c>
      <c r="E285" s="4" t="str">
        <f>IF(ISNUMBER(MATCH(B285, inventario!$A$2:$A$1001)), C285*_xlfn.XLOOKUP(B285,inventario!$A$2:$A$1001,inventario!$E$2:$E$1001), "")</f>
        <v/>
      </c>
    </row>
    <row r="286" spans="4:5" x14ac:dyDescent="0.25">
      <c r="D286" s="4" t="str">
        <f>IF(ISNUMBER(MATCH(B286, inventario!$A$2:$A$1001)), _xlfn.XLOOKUP(B286,inventario!$A$2:$A$1001,inventario!$E$2:$E$1001), "")</f>
        <v/>
      </c>
      <c r="E286" s="4" t="str">
        <f>IF(ISNUMBER(MATCH(B286, inventario!$A$2:$A$1001)), C286*_xlfn.XLOOKUP(B286,inventario!$A$2:$A$1001,inventario!$E$2:$E$1001), "")</f>
        <v/>
      </c>
    </row>
    <row r="287" spans="4:5" x14ac:dyDescent="0.25">
      <c r="D287" s="4" t="str">
        <f>IF(ISNUMBER(MATCH(B287, inventario!$A$2:$A$1001)), _xlfn.XLOOKUP(B287,inventario!$A$2:$A$1001,inventario!$E$2:$E$1001), "")</f>
        <v/>
      </c>
      <c r="E287" s="4" t="str">
        <f>IF(ISNUMBER(MATCH(B287, inventario!$A$2:$A$1001)), C287*_xlfn.XLOOKUP(B287,inventario!$A$2:$A$1001,inventario!$E$2:$E$1001), "")</f>
        <v/>
      </c>
    </row>
    <row r="288" spans="4:5" x14ac:dyDescent="0.25">
      <c r="D288" s="4" t="str">
        <f>IF(ISNUMBER(MATCH(B288, inventario!$A$2:$A$1001)), _xlfn.XLOOKUP(B288,inventario!$A$2:$A$1001,inventario!$E$2:$E$1001), "")</f>
        <v/>
      </c>
      <c r="E288" s="4" t="str">
        <f>IF(ISNUMBER(MATCH(B288, inventario!$A$2:$A$1001)), C288*_xlfn.XLOOKUP(B288,inventario!$A$2:$A$1001,inventario!$E$2:$E$1001), "")</f>
        <v/>
      </c>
    </row>
    <row r="289" spans="4:5" x14ac:dyDescent="0.25">
      <c r="D289" s="4" t="str">
        <f>IF(ISNUMBER(MATCH(B289, inventario!$A$2:$A$1001)), _xlfn.XLOOKUP(B289,inventario!$A$2:$A$1001,inventario!$E$2:$E$1001), "")</f>
        <v/>
      </c>
      <c r="E289" s="4" t="str">
        <f>IF(ISNUMBER(MATCH(B289, inventario!$A$2:$A$1001)), C289*_xlfn.XLOOKUP(B289,inventario!$A$2:$A$1001,inventario!$E$2:$E$1001), "")</f>
        <v/>
      </c>
    </row>
    <row r="290" spans="4:5" x14ac:dyDescent="0.25">
      <c r="D290" s="4" t="str">
        <f>IF(ISNUMBER(MATCH(B290, inventario!$A$2:$A$1001)), _xlfn.XLOOKUP(B290,inventario!$A$2:$A$1001,inventario!$E$2:$E$1001), "")</f>
        <v/>
      </c>
      <c r="E290" s="4" t="str">
        <f>IF(ISNUMBER(MATCH(B290, inventario!$A$2:$A$1001)), C290*_xlfn.XLOOKUP(B290,inventario!$A$2:$A$1001,inventario!$E$2:$E$1001), "")</f>
        <v/>
      </c>
    </row>
    <row r="291" spans="4:5" x14ac:dyDescent="0.25">
      <c r="D291" s="4" t="str">
        <f>IF(ISNUMBER(MATCH(B291, inventario!$A$2:$A$1001)), _xlfn.XLOOKUP(B291,inventario!$A$2:$A$1001,inventario!$E$2:$E$1001), "")</f>
        <v/>
      </c>
      <c r="E291" s="4" t="str">
        <f>IF(ISNUMBER(MATCH(B291, inventario!$A$2:$A$1001)), C291*_xlfn.XLOOKUP(B291,inventario!$A$2:$A$1001,inventario!$E$2:$E$1001), "")</f>
        <v/>
      </c>
    </row>
    <row r="292" spans="4:5" x14ac:dyDescent="0.25">
      <c r="D292" s="4" t="str">
        <f>IF(ISNUMBER(MATCH(B292, inventario!$A$2:$A$1001)), _xlfn.XLOOKUP(B292,inventario!$A$2:$A$1001,inventario!$E$2:$E$1001), "")</f>
        <v/>
      </c>
      <c r="E292" s="4" t="str">
        <f>IF(ISNUMBER(MATCH(B292, inventario!$A$2:$A$1001)), C292*_xlfn.XLOOKUP(B292,inventario!$A$2:$A$1001,inventario!$E$2:$E$1001), "")</f>
        <v/>
      </c>
    </row>
    <row r="293" spans="4:5" x14ac:dyDescent="0.25">
      <c r="D293" s="4" t="str">
        <f>IF(ISNUMBER(MATCH(B293, inventario!$A$2:$A$1001)), _xlfn.XLOOKUP(B293,inventario!$A$2:$A$1001,inventario!$E$2:$E$1001), "")</f>
        <v/>
      </c>
      <c r="E293" s="4" t="str">
        <f>IF(ISNUMBER(MATCH(B293, inventario!$A$2:$A$1001)), C293*_xlfn.XLOOKUP(B293,inventario!$A$2:$A$1001,inventario!$E$2:$E$1001), "")</f>
        <v/>
      </c>
    </row>
    <row r="294" spans="4:5" x14ac:dyDescent="0.25">
      <c r="D294" s="4" t="str">
        <f>IF(ISNUMBER(MATCH(B294, inventario!$A$2:$A$1001)), _xlfn.XLOOKUP(B294,inventario!$A$2:$A$1001,inventario!$E$2:$E$1001), "")</f>
        <v/>
      </c>
      <c r="E294" s="4" t="str">
        <f>IF(ISNUMBER(MATCH(B294, inventario!$A$2:$A$1001)), C294*_xlfn.XLOOKUP(B294,inventario!$A$2:$A$1001,inventario!$E$2:$E$1001), "")</f>
        <v/>
      </c>
    </row>
    <row r="295" spans="4:5" x14ac:dyDescent="0.25">
      <c r="D295" s="4" t="str">
        <f>IF(ISNUMBER(MATCH(B295, inventario!$A$2:$A$1001)), _xlfn.XLOOKUP(B295,inventario!$A$2:$A$1001,inventario!$E$2:$E$1001), "")</f>
        <v/>
      </c>
      <c r="E295" s="4" t="str">
        <f>IF(ISNUMBER(MATCH(B295, inventario!$A$2:$A$1001)), C295*_xlfn.XLOOKUP(B295,inventario!$A$2:$A$1001,inventario!$E$2:$E$1001), "")</f>
        <v/>
      </c>
    </row>
    <row r="296" spans="4:5" x14ac:dyDescent="0.25">
      <c r="D296" s="4" t="str">
        <f>IF(ISNUMBER(MATCH(B296, inventario!$A$2:$A$1001)), _xlfn.XLOOKUP(B296,inventario!$A$2:$A$1001,inventario!$E$2:$E$1001), "")</f>
        <v/>
      </c>
      <c r="E296" s="4" t="str">
        <f>IF(ISNUMBER(MATCH(B296, inventario!$A$2:$A$1001)), C296*_xlfn.XLOOKUP(B296,inventario!$A$2:$A$1001,inventario!$E$2:$E$1001), "")</f>
        <v/>
      </c>
    </row>
    <row r="297" spans="4:5" x14ac:dyDescent="0.25">
      <c r="D297" s="4" t="str">
        <f>IF(ISNUMBER(MATCH(B297, inventario!$A$2:$A$1001)), _xlfn.XLOOKUP(B297,inventario!$A$2:$A$1001,inventario!$E$2:$E$1001), "")</f>
        <v/>
      </c>
      <c r="E297" s="4" t="str">
        <f>IF(ISNUMBER(MATCH(B297, inventario!$A$2:$A$1001)), C297*_xlfn.XLOOKUP(B297,inventario!$A$2:$A$1001,inventario!$E$2:$E$1001), "")</f>
        <v/>
      </c>
    </row>
    <row r="298" spans="4:5" x14ac:dyDescent="0.25">
      <c r="D298" s="4" t="str">
        <f>IF(ISNUMBER(MATCH(B298, inventario!$A$2:$A$1001)), _xlfn.XLOOKUP(B298,inventario!$A$2:$A$1001,inventario!$E$2:$E$1001), "")</f>
        <v/>
      </c>
      <c r="E298" s="4" t="str">
        <f>IF(ISNUMBER(MATCH(B298, inventario!$A$2:$A$1001)), C298*_xlfn.XLOOKUP(B298,inventario!$A$2:$A$1001,inventario!$E$2:$E$1001), "")</f>
        <v/>
      </c>
    </row>
    <row r="299" spans="4:5" x14ac:dyDescent="0.25">
      <c r="D299" s="4" t="str">
        <f>IF(ISNUMBER(MATCH(B299, inventario!$A$2:$A$1001)), _xlfn.XLOOKUP(B299,inventario!$A$2:$A$1001,inventario!$E$2:$E$1001), "")</f>
        <v/>
      </c>
      <c r="E299" s="4" t="str">
        <f>IF(ISNUMBER(MATCH(B299, inventario!$A$2:$A$1001)), C299*_xlfn.XLOOKUP(B299,inventario!$A$2:$A$1001,inventario!$E$2:$E$1001), "")</f>
        <v/>
      </c>
    </row>
    <row r="300" spans="4:5" x14ac:dyDescent="0.25">
      <c r="D300" s="4" t="str">
        <f>IF(ISNUMBER(MATCH(B300, inventario!$A$2:$A$1001)), _xlfn.XLOOKUP(B300,inventario!$A$2:$A$1001,inventario!$E$2:$E$1001), "")</f>
        <v/>
      </c>
      <c r="E300" s="4" t="str">
        <f>IF(ISNUMBER(MATCH(B300, inventario!$A$2:$A$1001)), C300*_xlfn.XLOOKUP(B300,inventario!$A$2:$A$1001,inventario!$E$2:$E$1001), "")</f>
        <v/>
      </c>
    </row>
    <row r="301" spans="4:5" x14ac:dyDescent="0.25">
      <c r="D301" s="4" t="str">
        <f>IF(ISNUMBER(MATCH(B301, inventario!$A$2:$A$1001)), _xlfn.XLOOKUP(B301,inventario!$A$2:$A$1001,inventario!$E$2:$E$1001), "")</f>
        <v/>
      </c>
      <c r="E301" s="4" t="str">
        <f>IF(ISNUMBER(MATCH(B301, inventario!$A$2:$A$1001)), C301*_xlfn.XLOOKUP(B301,inventario!$A$2:$A$1001,inventario!$E$2:$E$1001), "")</f>
        <v/>
      </c>
    </row>
    <row r="302" spans="4:5" x14ac:dyDescent="0.25">
      <c r="D302" s="4" t="str">
        <f>IF(ISNUMBER(MATCH(B302, inventario!$A$2:$A$1001)), _xlfn.XLOOKUP(B302,inventario!$A$2:$A$1001,inventario!$E$2:$E$1001), "")</f>
        <v/>
      </c>
      <c r="E302" s="4" t="str">
        <f>IF(ISNUMBER(MATCH(B302, inventario!$A$2:$A$1001)), C302*_xlfn.XLOOKUP(B302,inventario!$A$2:$A$1001,inventario!$E$2:$E$1001), "")</f>
        <v/>
      </c>
    </row>
    <row r="303" spans="4:5" x14ac:dyDescent="0.25">
      <c r="D303" s="4" t="str">
        <f>IF(ISNUMBER(MATCH(B303, inventario!$A$2:$A$1001)), _xlfn.XLOOKUP(B303,inventario!$A$2:$A$1001,inventario!$E$2:$E$1001), "")</f>
        <v/>
      </c>
      <c r="E303" s="4" t="str">
        <f>IF(ISNUMBER(MATCH(B303, inventario!$A$2:$A$1001)), C303*_xlfn.XLOOKUP(B303,inventario!$A$2:$A$1001,inventario!$E$2:$E$1001), "")</f>
        <v/>
      </c>
    </row>
    <row r="304" spans="4:5" x14ac:dyDescent="0.25">
      <c r="D304" s="4" t="str">
        <f>IF(ISNUMBER(MATCH(B304, inventario!$A$2:$A$1001)), _xlfn.XLOOKUP(B304,inventario!$A$2:$A$1001,inventario!$E$2:$E$1001), "")</f>
        <v/>
      </c>
      <c r="E304" s="4" t="str">
        <f>IF(ISNUMBER(MATCH(B304, inventario!$A$2:$A$1001)), C304*_xlfn.XLOOKUP(B304,inventario!$A$2:$A$1001,inventario!$E$2:$E$1001), "")</f>
        <v/>
      </c>
    </row>
    <row r="305" spans="4:5" x14ac:dyDescent="0.25">
      <c r="D305" s="4" t="str">
        <f>IF(ISNUMBER(MATCH(B305, inventario!$A$2:$A$1001)), _xlfn.XLOOKUP(B305,inventario!$A$2:$A$1001,inventario!$E$2:$E$1001), "")</f>
        <v/>
      </c>
      <c r="E305" s="4" t="str">
        <f>IF(ISNUMBER(MATCH(B305, inventario!$A$2:$A$1001)), C305*_xlfn.XLOOKUP(B305,inventario!$A$2:$A$1001,inventario!$E$2:$E$1001), "")</f>
        <v/>
      </c>
    </row>
    <row r="306" spans="4:5" x14ac:dyDescent="0.25">
      <c r="D306" s="4" t="str">
        <f>IF(ISNUMBER(MATCH(B306, inventario!$A$2:$A$1001)), _xlfn.XLOOKUP(B306,inventario!$A$2:$A$1001,inventario!$E$2:$E$1001), "")</f>
        <v/>
      </c>
      <c r="E306" s="4" t="str">
        <f>IF(ISNUMBER(MATCH(B306, inventario!$A$2:$A$1001)), C306*_xlfn.XLOOKUP(B306,inventario!$A$2:$A$1001,inventario!$E$2:$E$1001), "")</f>
        <v/>
      </c>
    </row>
    <row r="307" spans="4:5" x14ac:dyDescent="0.25">
      <c r="D307" s="4" t="str">
        <f>IF(ISNUMBER(MATCH(B307, inventario!$A$2:$A$1001)), _xlfn.XLOOKUP(B307,inventario!$A$2:$A$1001,inventario!$E$2:$E$1001), "")</f>
        <v/>
      </c>
      <c r="E307" s="4" t="str">
        <f>IF(ISNUMBER(MATCH(B307, inventario!$A$2:$A$1001)), C307*_xlfn.XLOOKUP(B307,inventario!$A$2:$A$1001,inventario!$E$2:$E$1001), "")</f>
        <v/>
      </c>
    </row>
    <row r="308" spans="4:5" x14ac:dyDescent="0.25">
      <c r="D308" s="4" t="str">
        <f>IF(ISNUMBER(MATCH(B308, inventario!$A$2:$A$1001)), _xlfn.XLOOKUP(B308,inventario!$A$2:$A$1001,inventario!$E$2:$E$1001), "")</f>
        <v/>
      </c>
      <c r="E308" s="4" t="str">
        <f>IF(ISNUMBER(MATCH(B308, inventario!$A$2:$A$1001)), C308*_xlfn.XLOOKUP(B308,inventario!$A$2:$A$1001,inventario!$E$2:$E$1001), "")</f>
        <v/>
      </c>
    </row>
    <row r="309" spans="4:5" x14ac:dyDescent="0.25">
      <c r="D309" s="4" t="str">
        <f>IF(ISNUMBER(MATCH(B309, inventario!$A$2:$A$1001)), _xlfn.XLOOKUP(B309,inventario!$A$2:$A$1001,inventario!$E$2:$E$1001), "")</f>
        <v/>
      </c>
      <c r="E309" s="4" t="str">
        <f>IF(ISNUMBER(MATCH(B309, inventario!$A$2:$A$1001)), C309*_xlfn.XLOOKUP(B309,inventario!$A$2:$A$1001,inventario!$E$2:$E$1001), "")</f>
        <v/>
      </c>
    </row>
    <row r="310" spans="4:5" x14ac:dyDescent="0.25">
      <c r="D310" s="4" t="str">
        <f>IF(ISNUMBER(MATCH(B310, inventario!$A$2:$A$1001)), _xlfn.XLOOKUP(B310,inventario!$A$2:$A$1001,inventario!$E$2:$E$1001), "")</f>
        <v/>
      </c>
      <c r="E310" s="4" t="str">
        <f>IF(ISNUMBER(MATCH(B310, inventario!$A$2:$A$1001)), C310*_xlfn.XLOOKUP(B310,inventario!$A$2:$A$1001,inventario!$E$2:$E$1001), "")</f>
        <v/>
      </c>
    </row>
    <row r="311" spans="4:5" x14ac:dyDescent="0.25">
      <c r="D311" s="4" t="str">
        <f>IF(ISNUMBER(MATCH(B311, inventario!$A$2:$A$1001)), _xlfn.XLOOKUP(B311,inventario!$A$2:$A$1001,inventario!$E$2:$E$1001), "")</f>
        <v/>
      </c>
      <c r="E311" s="4" t="str">
        <f>IF(ISNUMBER(MATCH(B311, inventario!$A$2:$A$1001)), C311*_xlfn.XLOOKUP(B311,inventario!$A$2:$A$1001,inventario!$E$2:$E$1001), "")</f>
        <v/>
      </c>
    </row>
    <row r="312" spans="4:5" x14ac:dyDescent="0.25">
      <c r="D312" s="4" t="str">
        <f>IF(ISNUMBER(MATCH(B312, inventario!$A$2:$A$1001)), _xlfn.XLOOKUP(B312,inventario!$A$2:$A$1001,inventario!$E$2:$E$1001), "")</f>
        <v/>
      </c>
      <c r="E312" s="4" t="str">
        <f>IF(ISNUMBER(MATCH(B312, inventario!$A$2:$A$1001)), C312*_xlfn.XLOOKUP(B312,inventario!$A$2:$A$1001,inventario!$E$2:$E$1001), "")</f>
        <v/>
      </c>
    </row>
    <row r="313" spans="4:5" x14ac:dyDescent="0.25">
      <c r="D313" s="4" t="str">
        <f>IF(ISNUMBER(MATCH(B313, inventario!$A$2:$A$1001)), _xlfn.XLOOKUP(B313,inventario!$A$2:$A$1001,inventario!$E$2:$E$1001), "")</f>
        <v/>
      </c>
      <c r="E313" s="4" t="str">
        <f>IF(ISNUMBER(MATCH(B313, inventario!$A$2:$A$1001)), C313*_xlfn.XLOOKUP(B313,inventario!$A$2:$A$1001,inventario!$E$2:$E$1001), "")</f>
        <v/>
      </c>
    </row>
    <row r="314" spans="4:5" x14ac:dyDescent="0.25">
      <c r="D314" s="4" t="str">
        <f>IF(ISNUMBER(MATCH(B314, inventario!$A$2:$A$1001)), _xlfn.XLOOKUP(B314,inventario!$A$2:$A$1001,inventario!$E$2:$E$1001), "")</f>
        <v/>
      </c>
      <c r="E314" s="4" t="str">
        <f>IF(ISNUMBER(MATCH(B314, inventario!$A$2:$A$1001)), C314*_xlfn.XLOOKUP(B314,inventario!$A$2:$A$1001,inventario!$E$2:$E$1001), "")</f>
        <v/>
      </c>
    </row>
    <row r="315" spans="4:5" x14ac:dyDescent="0.25">
      <c r="D315" s="4" t="str">
        <f>IF(ISNUMBER(MATCH(B315, inventario!$A$2:$A$1001)), _xlfn.XLOOKUP(B315,inventario!$A$2:$A$1001,inventario!$E$2:$E$1001), "")</f>
        <v/>
      </c>
      <c r="E315" s="4" t="str">
        <f>IF(ISNUMBER(MATCH(B315, inventario!$A$2:$A$1001)), C315*_xlfn.XLOOKUP(B315,inventario!$A$2:$A$1001,inventario!$E$2:$E$1001), "")</f>
        <v/>
      </c>
    </row>
    <row r="316" spans="4:5" x14ac:dyDescent="0.25">
      <c r="D316" s="4" t="str">
        <f>IF(ISNUMBER(MATCH(B316, inventario!$A$2:$A$1001)), _xlfn.XLOOKUP(B316,inventario!$A$2:$A$1001,inventario!$E$2:$E$1001), "")</f>
        <v/>
      </c>
      <c r="E316" s="4" t="str">
        <f>IF(ISNUMBER(MATCH(B316, inventario!$A$2:$A$1001)), C316*_xlfn.XLOOKUP(B316,inventario!$A$2:$A$1001,inventario!$E$2:$E$1001), "")</f>
        <v/>
      </c>
    </row>
    <row r="317" spans="4:5" x14ac:dyDescent="0.25">
      <c r="D317" s="4" t="str">
        <f>IF(ISNUMBER(MATCH(B317, inventario!$A$2:$A$1001)), _xlfn.XLOOKUP(B317,inventario!$A$2:$A$1001,inventario!$E$2:$E$1001), "")</f>
        <v/>
      </c>
      <c r="E317" s="4" t="str">
        <f>IF(ISNUMBER(MATCH(B317, inventario!$A$2:$A$1001)), C317*_xlfn.XLOOKUP(B317,inventario!$A$2:$A$1001,inventario!$E$2:$E$1001), "")</f>
        <v/>
      </c>
    </row>
    <row r="318" spans="4:5" x14ac:dyDescent="0.25">
      <c r="D318" s="4" t="str">
        <f>IF(ISNUMBER(MATCH(B318, inventario!$A$2:$A$1001)), _xlfn.XLOOKUP(B318,inventario!$A$2:$A$1001,inventario!$E$2:$E$1001), "")</f>
        <v/>
      </c>
      <c r="E318" s="4" t="str">
        <f>IF(ISNUMBER(MATCH(B318, inventario!$A$2:$A$1001)), C318*_xlfn.XLOOKUP(B318,inventario!$A$2:$A$1001,inventario!$E$2:$E$1001), "")</f>
        <v/>
      </c>
    </row>
    <row r="319" spans="4:5" x14ac:dyDescent="0.25">
      <c r="D319" s="4" t="str">
        <f>IF(ISNUMBER(MATCH(B319, inventario!$A$2:$A$1001)), _xlfn.XLOOKUP(B319,inventario!$A$2:$A$1001,inventario!$E$2:$E$1001), "")</f>
        <v/>
      </c>
      <c r="E319" s="4" t="str">
        <f>IF(ISNUMBER(MATCH(B319, inventario!$A$2:$A$1001)), C319*_xlfn.XLOOKUP(B319,inventario!$A$2:$A$1001,inventario!$E$2:$E$1001), "")</f>
        <v/>
      </c>
    </row>
    <row r="320" spans="4:5" x14ac:dyDescent="0.25">
      <c r="D320" s="4" t="str">
        <f>IF(ISNUMBER(MATCH(B320, inventario!$A$2:$A$1001)), _xlfn.XLOOKUP(B320,inventario!$A$2:$A$1001,inventario!$E$2:$E$1001), "")</f>
        <v/>
      </c>
      <c r="E320" s="4" t="str">
        <f>IF(ISNUMBER(MATCH(B320, inventario!$A$2:$A$1001)), C320*_xlfn.XLOOKUP(B320,inventario!$A$2:$A$1001,inventario!$E$2:$E$1001), "")</f>
        <v/>
      </c>
    </row>
    <row r="321" spans="4:5" x14ac:dyDescent="0.25">
      <c r="D321" s="4" t="str">
        <f>IF(ISNUMBER(MATCH(B321, inventario!$A$2:$A$1001)), _xlfn.XLOOKUP(B321,inventario!$A$2:$A$1001,inventario!$E$2:$E$1001), "")</f>
        <v/>
      </c>
      <c r="E321" s="4" t="str">
        <f>IF(ISNUMBER(MATCH(B321, inventario!$A$2:$A$1001)), C321*_xlfn.XLOOKUP(B321,inventario!$A$2:$A$1001,inventario!$E$2:$E$1001), "")</f>
        <v/>
      </c>
    </row>
    <row r="322" spans="4:5" x14ac:dyDescent="0.25">
      <c r="D322" s="4" t="str">
        <f>IF(ISNUMBER(MATCH(B322, inventario!$A$2:$A$1001)), _xlfn.XLOOKUP(B322,inventario!$A$2:$A$1001,inventario!$E$2:$E$1001), "")</f>
        <v/>
      </c>
      <c r="E322" s="4" t="str">
        <f>IF(ISNUMBER(MATCH(B322, inventario!$A$2:$A$1001)), C322*_xlfn.XLOOKUP(B322,inventario!$A$2:$A$1001,inventario!$E$2:$E$1001), "")</f>
        <v/>
      </c>
    </row>
    <row r="323" spans="4:5" x14ac:dyDescent="0.25">
      <c r="D323" s="4" t="str">
        <f>IF(ISNUMBER(MATCH(B323, inventario!$A$2:$A$1001)), _xlfn.XLOOKUP(B323,inventario!$A$2:$A$1001,inventario!$E$2:$E$1001), "")</f>
        <v/>
      </c>
      <c r="E323" s="4" t="str">
        <f>IF(ISNUMBER(MATCH(B323, inventario!$A$2:$A$1001)), C323*_xlfn.XLOOKUP(B323,inventario!$A$2:$A$1001,inventario!$E$2:$E$1001), "")</f>
        <v/>
      </c>
    </row>
    <row r="324" spans="4:5" x14ac:dyDescent="0.25">
      <c r="D324" s="4" t="str">
        <f>IF(ISNUMBER(MATCH(B324, inventario!$A$2:$A$1001)), _xlfn.XLOOKUP(B324,inventario!$A$2:$A$1001,inventario!$E$2:$E$1001), "")</f>
        <v/>
      </c>
      <c r="E324" s="4" t="str">
        <f>IF(ISNUMBER(MATCH(B324, inventario!$A$2:$A$1001)), C324*_xlfn.XLOOKUP(B324,inventario!$A$2:$A$1001,inventario!$E$2:$E$1001), "")</f>
        <v/>
      </c>
    </row>
    <row r="325" spans="4:5" x14ac:dyDescent="0.25">
      <c r="D325" s="4" t="str">
        <f>IF(ISNUMBER(MATCH(B325, inventario!$A$2:$A$1001)), _xlfn.XLOOKUP(B325,inventario!$A$2:$A$1001,inventario!$E$2:$E$1001), "")</f>
        <v/>
      </c>
      <c r="E325" s="4" t="str">
        <f>IF(ISNUMBER(MATCH(B325, inventario!$A$2:$A$1001)), C325*_xlfn.XLOOKUP(B325,inventario!$A$2:$A$1001,inventario!$E$2:$E$1001), "")</f>
        <v/>
      </c>
    </row>
    <row r="326" spans="4:5" x14ac:dyDescent="0.25">
      <c r="D326" s="4" t="str">
        <f>IF(ISNUMBER(MATCH(B326, inventario!$A$2:$A$1001)), _xlfn.XLOOKUP(B326,inventario!$A$2:$A$1001,inventario!$E$2:$E$1001), "")</f>
        <v/>
      </c>
      <c r="E326" s="4" t="str">
        <f>IF(ISNUMBER(MATCH(B326, inventario!$A$2:$A$1001)), C326*_xlfn.XLOOKUP(B326,inventario!$A$2:$A$1001,inventario!$E$2:$E$1001), "")</f>
        <v/>
      </c>
    </row>
    <row r="327" spans="4:5" x14ac:dyDescent="0.25">
      <c r="D327" s="4" t="str">
        <f>IF(ISNUMBER(MATCH(B327, inventario!$A$2:$A$1001)), _xlfn.XLOOKUP(B327,inventario!$A$2:$A$1001,inventario!$E$2:$E$1001), "")</f>
        <v/>
      </c>
      <c r="E327" s="4" t="str">
        <f>IF(ISNUMBER(MATCH(B327, inventario!$A$2:$A$1001)), C327*_xlfn.XLOOKUP(B327,inventario!$A$2:$A$1001,inventario!$E$2:$E$1001), "")</f>
        <v/>
      </c>
    </row>
    <row r="328" spans="4:5" x14ac:dyDescent="0.25">
      <c r="D328" s="4" t="str">
        <f>IF(ISNUMBER(MATCH(B328, inventario!$A$2:$A$1001)), _xlfn.XLOOKUP(B328,inventario!$A$2:$A$1001,inventario!$E$2:$E$1001), "")</f>
        <v/>
      </c>
      <c r="E328" s="4" t="str">
        <f>IF(ISNUMBER(MATCH(B328, inventario!$A$2:$A$1001)), C328*_xlfn.XLOOKUP(B328,inventario!$A$2:$A$1001,inventario!$E$2:$E$1001), "")</f>
        <v/>
      </c>
    </row>
    <row r="329" spans="4:5" x14ac:dyDescent="0.25">
      <c r="D329" s="4" t="str">
        <f>IF(ISNUMBER(MATCH(B329, inventario!$A$2:$A$1001)), _xlfn.XLOOKUP(B329,inventario!$A$2:$A$1001,inventario!$E$2:$E$1001), "")</f>
        <v/>
      </c>
      <c r="E329" s="4" t="str">
        <f>IF(ISNUMBER(MATCH(B329, inventario!$A$2:$A$1001)), C329*_xlfn.XLOOKUP(B329,inventario!$A$2:$A$1001,inventario!$E$2:$E$1001), "")</f>
        <v/>
      </c>
    </row>
    <row r="330" spans="4:5" x14ac:dyDescent="0.25">
      <c r="D330" s="4" t="str">
        <f>IF(ISNUMBER(MATCH(B330, inventario!$A$2:$A$1001)), _xlfn.XLOOKUP(B330,inventario!$A$2:$A$1001,inventario!$E$2:$E$1001), "")</f>
        <v/>
      </c>
      <c r="E330" s="4" t="str">
        <f>IF(ISNUMBER(MATCH(B330, inventario!$A$2:$A$1001)), C330*_xlfn.XLOOKUP(B330,inventario!$A$2:$A$1001,inventario!$E$2:$E$1001), "")</f>
        <v/>
      </c>
    </row>
    <row r="331" spans="4:5" x14ac:dyDescent="0.25">
      <c r="D331" s="4" t="str">
        <f>IF(ISNUMBER(MATCH(B331, inventario!$A$2:$A$1001)), _xlfn.XLOOKUP(B331,inventario!$A$2:$A$1001,inventario!$E$2:$E$1001), "")</f>
        <v/>
      </c>
      <c r="E331" s="4" t="str">
        <f>IF(ISNUMBER(MATCH(B331, inventario!$A$2:$A$1001)), C331*_xlfn.XLOOKUP(B331,inventario!$A$2:$A$1001,inventario!$E$2:$E$1001), "")</f>
        <v/>
      </c>
    </row>
    <row r="332" spans="4:5" x14ac:dyDescent="0.25">
      <c r="D332" s="4" t="str">
        <f>IF(ISNUMBER(MATCH(B332, inventario!$A$2:$A$1001)), _xlfn.XLOOKUP(B332,inventario!$A$2:$A$1001,inventario!$E$2:$E$1001), "")</f>
        <v/>
      </c>
      <c r="E332" s="4" t="str">
        <f>IF(ISNUMBER(MATCH(B332, inventario!$A$2:$A$1001)), C332*_xlfn.XLOOKUP(B332,inventario!$A$2:$A$1001,inventario!$E$2:$E$1001), "")</f>
        <v/>
      </c>
    </row>
    <row r="333" spans="4:5" x14ac:dyDescent="0.25">
      <c r="D333" s="4" t="str">
        <f>IF(ISNUMBER(MATCH(B333, inventario!$A$2:$A$1001)), _xlfn.XLOOKUP(B333,inventario!$A$2:$A$1001,inventario!$E$2:$E$1001), "")</f>
        <v/>
      </c>
      <c r="E333" s="4" t="str">
        <f>IF(ISNUMBER(MATCH(B333, inventario!$A$2:$A$1001)), C333*_xlfn.XLOOKUP(B333,inventario!$A$2:$A$1001,inventario!$E$2:$E$1001), "")</f>
        <v/>
      </c>
    </row>
    <row r="334" spans="4:5" x14ac:dyDescent="0.25">
      <c r="D334" s="4" t="str">
        <f>IF(ISNUMBER(MATCH(B334, inventario!$A$2:$A$1001)), _xlfn.XLOOKUP(B334,inventario!$A$2:$A$1001,inventario!$E$2:$E$1001), "")</f>
        <v/>
      </c>
      <c r="E334" s="4" t="str">
        <f>IF(ISNUMBER(MATCH(B334, inventario!$A$2:$A$1001)), C334*_xlfn.XLOOKUP(B334,inventario!$A$2:$A$1001,inventario!$E$2:$E$1001), "")</f>
        <v/>
      </c>
    </row>
    <row r="335" spans="4:5" x14ac:dyDescent="0.25">
      <c r="D335" s="4" t="str">
        <f>IF(ISNUMBER(MATCH(B335, inventario!$A$2:$A$1001)), _xlfn.XLOOKUP(B335,inventario!$A$2:$A$1001,inventario!$E$2:$E$1001), "")</f>
        <v/>
      </c>
      <c r="E335" s="4" t="str">
        <f>IF(ISNUMBER(MATCH(B335, inventario!$A$2:$A$1001)), C335*_xlfn.XLOOKUP(B335,inventario!$A$2:$A$1001,inventario!$E$2:$E$1001), "")</f>
        <v/>
      </c>
    </row>
    <row r="336" spans="4:5" x14ac:dyDescent="0.25">
      <c r="D336" s="4" t="str">
        <f>IF(ISNUMBER(MATCH(B336, inventario!$A$2:$A$1001)), _xlfn.XLOOKUP(B336,inventario!$A$2:$A$1001,inventario!$E$2:$E$1001), "")</f>
        <v/>
      </c>
      <c r="E336" s="4" t="str">
        <f>IF(ISNUMBER(MATCH(B336, inventario!$A$2:$A$1001)), C336*_xlfn.XLOOKUP(B336,inventario!$A$2:$A$1001,inventario!$E$2:$E$1001), "")</f>
        <v/>
      </c>
    </row>
    <row r="337" spans="4:5" x14ac:dyDescent="0.25">
      <c r="D337" s="4" t="str">
        <f>IF(ISNUMBER(MATCH(B337, inventario!$A$2:$A$1001)), _xlfn.XLOOKUP(B337,inventario!$A$2:$A$1001,inventario!$E$2:$E$1001), "")</f>
        <v/>
      </c>
      <c r="E337" s="4" t="str">
        <f>IF(ISNUMBER(MATCH(B337, inventario!$A$2:$A$1001)), C337*_xlfn.XLOOKUP(B337,inventario!$A$2:$A$1001,inventario!$E$2:$E$1001), "")</f>
        <v/>
      </c>
    </row>
    <row r="338" spans="4:5" x14ac:dyDescent="0.25">
      <c r="D338" s="4" t="str">
        <f>IF(ISNUMBER(MATCH(B338, inventario!$A$2:$A$1001)), _xlfn.XLOOKUP(B338,inventario!$A$2:$A$1001,inventario!$E$2:$E$1001), "")</f>
        <v/>
      </c>
      <c r="E338" s="4" t="str">
        <f>IF(ISNUMBER(MATCH(B338, inventario!$A$2:$A$1001)), C338*_xlfn.XLOOKUP(B338,inventario!$A$2:$A$1001,inventario!$E$2:$E$1001), "")</f>
        <v/>
      </c>
    </row>
    <row r="339" spans="4:5" x14ac:dyDescent="0.25">
      <c r="D339" s="4" t="str">
        <f>IF(ISNUMBER(MATCH(B339, inventario!$A$2:$A$1001)), _xlfn.XLOOKUP(B339,inventario!$A$2:$A$1001,inventario!$E$2:$E$1001), "")</f>
        <v/>
      </c>
      <c r="E339" s="4" t="str">
        <f>IF(ISNUMBER(MATCH(B339, inventario!$A$2:$A$1001)), C339*_xlfn.XLOOKUP(B339,inventario!$A$2:$A$1001,inventario!$E$2:$E$1001), "")</f>
        <v/>
      </c>
    </row>
    <row r="340" spans="4:5" x14ac:dyDescent="0.25">
      <c r="D340" s="4" t="str">
        <f>IF(ISNUMBER(MATCH(B340, inventario!$A$2:$A$1001)), _xlfn.XLOOKUP(B340,inventario!$A$2:$A$1001,inventario!$E$2:$E$1001), "")</f>
        <v/>
      </c>
      <c r="E340" s="4" t="str">
        <f>IF(ISNUMBER(MATCH(B340, inventario!$A$2:$A$1001)), C340*_xlfn.XLOOKUP(B340,inventario!$A$2:$A$1001,inventario!$E$2:$E$1001), "")</f>
        <v/>
      </c>
    </row>
    <row r="341" spans="4:5" x14ac:dyDescent="0.25">
      <c r="D341" s="4" t="str">
        <f>IF(ISNUMBER(MATCH(B341, inventario!$A$2:$A$1001)), _xlfn.XLOOKUP(B341,inventario!$A$2:$A$1001,inventario!$E$2:$E$1001), "")</f>
        <v/>
      </c>
      <c r="E341" s="4" t="str">
        <f>IF(ISNUMBER(MATCH(B341, inventario!$A$2:$A$1001)), C341*_xlfn.XLOOKUP(B341,inventario!$A$2:$A$1001,inventario!$E$2:$E$1001), "")</f>
        <v/>
      </c>
    </row>
    <row r="342" spans="4:5" x14ac:dyDescent="0.25">
      <c r="D342" s="4" t="str">
        <f>IF(ISNUMBER(MATCH(B342, inventario!$A$2:$A$1001)), _xlfn.XLOOKUP(B342,inventario!$A$2:$A$1001,inventario!$E$2:$E$1001), "")</f>
        <v/>
      </c>
      <c r="E342" s="4" t="str">
        <f>IF(ISNUMBER(MATCH(B342, inventario!$A$2:$A$1001)), C342*_xlfn.XLOOKUP(B342,inventario!$A$2:$A$1001,inventario!$E$2:$E$1001), "")</f>
        <v/>
      </c>
    </row>
    <row r="343" spans="4:5" x14ac:dyDescent="0.25">
      <c r="D343" s="4" t="str">
        <f>IF(ISNUMBER(MATCH(B343, inventario!$A$2:$A$1001)), _xlfn.XLOOKUP(B343,inventario!$A$2:$A$1001,inventario!$E$2:$E$1001), "")</f>
        <v/>
      </c>
      <c r="E343" s="4" t="str">
        <f>IF(ISNUMBER(MATCH(B343, inventario!$A$2:$A$1001)), C343*_xlfn.XLOOKUP(B343,inventario!$A$2:$A$1001,inventario!$E$2:$E$1001), "")</f>
        <v/>
      </c>
    </row>
    <row r="344" spans="4:5" x14ac:dyDescent="0.25">
      <c r="D344" s="4" t="str">
        <f>IF(ISNUMBER(MATCH(B344, inventario!$A$2:$A$1001)), _xlfn.XLOOKUP(B344,inventario!$A$2:$A$1001,inventario!$E$2:$E$1001), "")</f>
        <v/>
      </c>
      <c r="E344" s="4" t="str">
        <f>IF(ISNUMBER(MATCH(B344, inventario!$A$2:$A$1001)), C344*_xlfn.XLOOKUP(B344,inventario!$A$2:$A$1001,inventario!$E$2:$E$1001), "")</f>
        <v/>
      </c>
    </row>
    <row r="345" spans="4:5" x14ac:dyDescent="0.25">
      <c r="D345" s="4" t="str">
        <f>IF(ISNUMBER(MATCH(B345, inventario!$A$2:$A$1001)), _xlfn.XLOOKUP(B345,inventario!$A$2:$A$1001,inventario!$E$2:$E$1001), "")</f>
        <v/>
      </c>
      <c r="E345" s="4" t="str">
        <f>IF(ISNUMBER(MATCH(B345, inventario!$A$2:$A$1001)), C345*_xlfn.XLOOKUP(B345,inventario!$A$2:$A$1001,inventario!$E$2:$E$1001), "")</f>
        <v/>
      </c>
    </row>
    <row r="346" spans="4:5" x14ac:dyDescent="0.25">
      <c r="D346" s="4" t="str">
        <f>IF(ISNUMBER(MATCH(B346, inventario!$A$2:$A$1001)), _xlfn.XLOOKUP(B346,inventario!$A$2:$A$1001,inventario!$E$2:$E$1001), "")</f>
        <v/>
      </c>
      <c r="E346" s="4" t="str">
        <f>IF(ISNUMBER(MATCH(B346, inventario!$A$2:$A$1001)), C346*_xlfn.XLOOKUP(B346,inventario!$A$2:$A$1001,inventario!$E$2:$E$1001), "")</f>
        <v/>
      </c>
    </row>
    <row r="347" spans="4:5" x14ac:dyDescent="0.25">
      <c r="D347" s="4" t="str">
        <f>IF(ISNUMBER(MATCH(B347, inventario!$A$2:$A$1001)), _xlfn.XLOOKUP(B347,inventario!$A$2:$A$1001,inventario!$E$2:$E$1001), "")</f>
        <v/>
      </c>
      <c r="E347" s="4" t="str">
        <f>IF(ISNUMBER(MATCH(B347, inventario!$A$2:$A$1001)), C347*_xlfn.XLOOKUP(B347,inventario!$A$2:$A$1001,inventario!$E$2:$E$1001), "")</f>
        <v/>
      </c>
    </row>
    <row r="348" spans="4:5" x14ac:dyDescent="0.25">
      <c r="D348" s="4" t="str">
        <f>IF(ISNUMBER(MATCH(B348, inventario!$A$2:$A$1001)), _xlfn.XLOOKUP(B348,inventario!$A$2:$A$1001,inventario!$E$2:$E$1001), "")</f>
        <v/>
      </c>
      <c r="E348" s="4" t="str">
        <f>IF(ISNUMBER(MATCH(B348, inventario!$A$2:$A$1001)), C348*_xlfn.XLOOKUP(B348,inventario!$A$2:$A$1001,inventario!$E$2:$E$1001), "")</f>
        <v/>
      </c>
    </row>
    <row r="349" spans="4:5" x14ac:dyDescent="0.25">
      <c r="D349" s="4" t="str">
        <f>IF(ISNUMBER(MATCH(B349, inventario!$A$2:$A$1001)), _xlfn.XLOOKUP(B349,inventario!$A$2:$A$1001,inventario!$E$2:$E$1001), "")</f>
        <v/>
      </c>
      <c r="E349" s="4" t="str">
        <f>IF(ISNUMBER(MATCH(B349, inventario!$A$2:$A$1001)), C349*_xlfn.XLOOKUP(B349,inventario!$A$2:$A$1001,inventario!$E$2:$E$1001), "")</f>
        <v/>
      </c>
    </row>
    <row r="350" spans="4:5" x14ac:dyDescent="0.25">
      <c r="D350" s="4" t="str">
        <f>IF(ISNUMBER(MATCH(B350, inventario!$A$2:$A$1001)), _xlfn.XLOOKUP(B350,inventario!$A$2:$A$1001,inventario!$E$2:$E$1001), "")</f>
        <v/>
      </c>
      <c r="E350" s="4" t="str">
        <f>IF(ISNUMBER(MATCH(B350, inventario!$A$2:$A$1001)), C350*_xlfn.XLOOKUP(B350,inventario!$A$2:$A$1001,inventario!$E$2:$E$1001), "")</f>
        <v/>
      </c>
    </row>
    <row r="351" spans="4:5" x14ac:dyDescent="0.25">
      <c r="D351" s="4" t="str">
        <f>IF(ISNUMBER(MATCH(B351, inventario!$A$2:$A$1001)), _xlfn.XLOOKUP(B351,inventario!$A$2:$A$1001,inventario!$E$2:$E$1001), "")</f>
        <v/>
      </c>
      <c r="E351" s="4" t="str">
        <f>IF(ISNUMBER(MATCH(B351, inventario!$A$2:$A$1001)), C351*_xlfn.XLOOKUP(B351,inventario!$A$2:$A$1001,inventario!$E$2:$E$1001), "")</f>
        <v/>
      </c>
    </row>
    <row r="352" spans="4:5" x14ac:dyDescent="0.25">
      <c r="D352" s="4" t="str">
        <f>IF(ISNUMBER(MATCH(B352, inventario!$A$2:$A$1001)), _xlfn.XLOOKUP(B352,inventario!$A$2:$A$1001,inventario!$E$2:$E$1001), "")</f>
        <v/>
      </c>
      <c r="E352" s="4" t="str">
        <f>IF(ISNUMBER(MATCH(B352, inventario!$A$2:$A$1001)), C352*_xlfn.XLOOKUP(B352,inventario!$A$2:$A$1001,inventario!$E$2:$E$1001), "")</f>
        <v/>
      </c>
    </row>
    <row r="353" spans="4:5" x14ac:dyDescent="0.25">
      <c r="D353" s="4" t="str">
        <f>IF(ISNUMBER(MATCH(B353, inventario!$A$2:$A$1001)), _xlfn.XLOOKUP(B353,inventario!$A$2:$A$1001,inventario!$E$2:$E$1001), "")</f>
        <v/>
      </c>
      <c r="E353" s="4" t="str">
        <f>IF(ISNUMBER(MATCH(B353, inventario!$A$2:$A$1001)), C353*_xlfn.XLOOKUP(B353,inventario!$A$2:$A$1001,inventario!$E$2:$E$1001), "")</f>
        <v/>
      </c>
    </row>
    <row r="354" spans="4:5" x14ac:dyDescent="0.25">
      <c r="D354" s="4" t="str">
        <f>IF(ISNUMBER(MATCH(B354, inventario!$A$2:$A$1001)), _xlfn.XLOOKUP(B354,inventario!$A$2:$A$1001,inventario!$E$2:$E$1001), "")</f>
        <v/>
      </c>
      <c r="E354" s="4" t="str">
        <f>IF(ISNUMBER(MATCH(B354, inventario!$A$2:$A$1001)), C354*_xlfn.XLOOKUP(B354,inventario!$A$2:$A$1001,inventario!$E$2:$E$1001), "")</f>
        <v/>
      </c>
    </row>
    <row r="355" spans="4:5" x14ac:dyDescent="0.25">
      <c r="D355" s="4" t="str">
        <f>IF(ISNUMBER(MATCH(B355, inventario!$A$2:$A$1001)), _xlfn.XLOOKUP(B355,inventario!$A$2:$A$1001,inventario!$E$2:$E$1001), "")</f>
        <v/>
      </c>
      <c r="E355" s="4" t="str">
        <f>IF(ISNUMBER(MATCH(B355, inventario!$A$2:$A$1001)), C355*_xlfn.XLOOKUP(B355,inventario!$A$2:$A$1001,inventario!$E$2:$E$1001), "")</f>
        <v/>
      </c>
    </row>
    <row r="356" spans="4:5" x14ac:dyDescent="0.25">
      <c r="D356" s="4" t="str">
        <f>IF(ISNUMBER(MATCH(B356, inventario!$A$2:$A$1001)), _xlfn.XLOOKUP(B356,inventario!$A$2:$A$1001,inventario!$E$2:$E$1001), "")</f>
        <v/>
      </c>
      <c r="E356" s="4" t="str">
        <f>IF(ISNUMBER(MATCH(B356, inventario!$A$2:$A$1001)), C356*_xlfn.XLOOKUP(B356,inventario!$A$2:$A$1001,inventario!$E$2:$E$1001), "")</f>
        <v/>
      </c>
    </row>
    <row r="357" spans="4:5" x14ac:dyDescent="0.25">
      <c r="D357" s="4" t="str">
        <f>IF(ISNUMBER(MATCH(B357, inventario!$A$2:$A$1001)), _xlfn.XLOOKUP(B357,inventario!$A$2:$A$1001,inventario!$E$2:$E$1001), "")</f>
        <v/>
      </c>
      <c r="E357" s="4" t="str">
        <f>IF(ISNUMBER(MATCH(B357, inventario!$A$2:$A$1001)), C357*_xlfn.XLOOKUP(B357,inventario!$A$2:$A$1001,inventario!$E$2:$E$1001), "")</f>
        <v/>
      </c>
    </row>
    <row r="358" spans="4:5" x14ac:dyDescent="0.25">
      <c r="D358" s="4" t="str">
        <f>IF(ISNUMBER(MATCH(B358, inventario!$A$2:$A$1001)), _xlfn.XLOOKUP(B358,inventario!$A$2:$A$1001,inventario!$E$2:$E$1001), "")</f>
        <v/>
      </c>
      <c r="E358" s="4" t="str">
        <f>IF(ISNUMBER(MATCH(B358, inventario!$A$2:$A$1001)), C358*_xlfn.XLOOKUP(B358,inventario!$A$2:$A$1001,inventario!$E$2:$E$1001), "")</f>
        <v/>
      </c>
    </row>
    <row r="359" spans="4:5" x14ac:dyDescent="0.25">
      <c r="D359" s="4" t="str">
        <f>IF(ISNUMBER(MATCH(B359, inventario!$A$2:$A$1001)), _xlfn.XLOOKUP(B359,inventario!$A$2:$A$1001,inventario!$E$2:$E$1001), "")</f>
        <v/>
      </c>
      <c r="E359" s="4" t="str">
        <f>IF(ISNUMBER(MATCH(B359, inventario!$A$2:$A$1001)), C359*_xlfn.XLOOKUP(B359,inventario!$A$2:$A$1001,inventario!$E$2:$E$1001), "")</f>
        <v/>
      </c>
    </row>
    <row r="360" spans="4:5" x14ac:dyDescent="0.25">
      <c r="D360" s="4" t="str">
        <f>IF(ISNUMBER(MATCH(B360, inventario!$A$2:$A$1001)), _xlfn.XLOOKUP(B360,inventario!$A$2:$A$1001,inventario!$E$2:$E$1001), "")</f>
        <v/>
      </c>
      <c r="E360" s="4" t="str">
        <f>IF(ISNUMBER(MATCH(B360, inventario!$A$2:$A$1001)), C360*_xlfn.XLOOKUP(B360,inventario!$A$2:$A$1001,inventario!$E$2:$E$1001), "")</f>
        <v/>
      </c>
    </row>
    <row r="361" spans="4:5" x14ac:dyDescent="0.25">
      <c r="D361" s="4" t="str">
        <f>IF(ISNUMBER(MATCH(B361, inventario!$A$2:$A$1001)), _xlfn.XLOOKUP(B361,inventario!$A$2:$A$1001,inventario!$E$2:$E$1001), "")</f>
        <v/>
      </c>
      <c r="E361" s="4" t="str">
        <f>IF(ISNUMBER(MATCH(B361, inventario!$A$2:$A$1001)), C361*_xlfn.XLOOKUP(B361,inventario!$A$2:$A$1001,inventario!$E$2:$E$1001), "")</f>
        <v/>
      </c>
    </row>
    <row r="362" spans="4:5" x14ac:dyDescent="0.25">
      <c r="D362" s="4" t="str">
        <f>IF(ISNUMBER(MATCH(B362, inventario!$A$2:$A$1001)), _xlfn.XLOOKUP(B362,inventario!$A$2:$A$1001,inventario!$E$2:$E$1001), "")</f>
        <v/>
      </c>
      <c r="E362" s="4" t="str">
        <f>IF(ISNUMBER(MATCH(B362, inventario!$A$2:$A$1001)), C362*_xlfn.XLOOKUP(B362,inventario!$A$2:$A$1001,inventario!$E$2:$E$1001), "")</f>
        <v/>
      </c>
    </row>
    <row r="363" spans="4:5" x14ac:dyDescent="0.25">
      <c r="D363" s="4" t="str">
        <f>IF(ISNUMBER(MATCH(B363, inventario!$A$2:$A$1001)), _xlfn.XLOOKUP(B363,inventario!$A$2:$A$1001,inventario!$E$2:$E$1001), "")</f>
        <v/>
      </c>
      <c r="E363" s="4" t="str">
        <f>IF(ISNUMBER(MATCH(B363, inventario!$A$2:$A$1001)), C363*_xlfn.XLOOKUP(B363,inventario!$A$2:$A$1001,inventario!$E$2:$E$1001), "")</f>
        <v/>
      </c>
    </row>
    <row r="364" spans="4:5" x14ac:dyDescent="0.25">
      <c r="D364" s="4" t="str">
        <f>IF(ISNUMBER(MATCH(B364, inventario!$A$2:$A$1001)), _xlfn.XLOOKUP(B364,inventario!$A$2:$A$1001,inventario!$E$2:$E$1001), "")</f>
        <v/>
      </c>
      <c r="E364" s="4" t="str">
        <f>IF(ISNUMBER(MATCH(B364, inventario!$A$2:$A$1001)), C364*_xlfn.XLOOKUP(B364,inventario!$A$2:$A$1001,inventario!$E$2:$E$1001), "")</f>
        <v/>
      </c>
    </row>
    <row r="365" spans="4:5" x14ac:dyDescent="0.25">
      <c r="D365" s="4" t="str">
        <f>IF(ISNUMBER(MATCH(B365, inventario!$A$2:$A$1001)), _xlfn.XLOOKUP(B365,inventario!$A$2:$A$1001,inventario!$E$2:$E$1001), "")</f>
        <v/>
      </c>
      <c r="E365" s="4" t="str">
        <f>IF(ISNUMBER(MATCH(B365, inventario!$A$2:$A$1001)), C365*_xlfn.XLOOKUP(B365,inventario!$A$2:$A$1001,inventario!$E$2:$E$1001), "")</f>
        <v/>
      </c>
    </row>
    <row r="366" spans="4:5" x14ac:dyDescent="0.25">
      <c r="D366" s="4" t="str">
        <f>IF(ISNUMBER(MATCH(B366, inventario!$A$2:$A$1001)), _xlfn.XLOOKUP(B366,inventario!$A$2:$A$1001,inventario!$E$2:$E$1001), "")</f>
        <v/>
      </c>
      <c r="E366" s="4" t="str">
        <f>IF(ISNUMBER(MATCH(B366, inventario!$A$2:$A$1001)), C366*_xlfn.XLOOKUP(B366,inventario!$A$2:$A$1001,inventario!$E$2:$E$1001), "")</f>
        <v/>
      </c>
    </row>
    <row r="367" spans="4:5" x14ac:dyDescent="0.25">
      <c r="D367" s="4" t="str">
        <f>IF(ISNUMBER(MATCH(B367, inventario!$A$2:$A$1001)), _xlfn.XLOOKUP(B367,inventario!$A$2:$A$1001,inventario!$E$2:$E$1001), "")</f>
        <v/>
      </c>
      <c r="E367" s="4" t="str">
        <f>IF(ISNUMBER(MATCH(B367, inventario!$A$2:$A$1001)), C367*_xlfn.XLOOKUP(B367,inventario!$A$2:$A$1001,inventario!$E$2:$E$1001), "")</f>
        <v/>
      </c>
    </row>
    <row r="368" spans="4:5" x14ac:dyDescent="0.25">
      <c r="D368" s="4" t="str">
        <f>IF(ISNUMBER(MATCH(B368, inventario!$A$2:$A$1001)), _xlfn.XLOOKUP(B368,inventario!$A$2:$A$1001,inventario!$E$2:$E$1001), "")</f>
        <v/>
      </c>
      <c r="E368" s="4" t="str">
        <f>IF(ISNUMBER(MATCH(B368, inventario!$A$2:$A$1001)), C368*_xlfn.XLOOKUP(B368,inventario!$A$2:$A$1001,inventario!$E$2:$E$1001), "")</f>
        <v/>
      </c>
    </row>
    <row r="369" spans="4:5" x14ac:dyDescent="0.25">
      <c r="D369" s="4" t="str">
        <f>IF(ISNUMBER(MATCH(B369, inventario!$A$2:$A$1001)), _xlfn.XLOOKUP(B369,inventario!$A$2:$A$1001,inventario!$E$2:$E$1001), "")</f>
        <v/>
      </c>
      <c r="E369" s="4" t="str">
        <f>IF(ISNUMBER(MATCH(B369, inventario!$A$2:$A$1001)), C369*_xlfn.XLOOKUP(B369,inventario!$A$2:$A$1001,inventario!$E$2:$E$1001), "")</f>
        <v/>
      </c>
    </row>
    <row r="370" spans="4:5" x14ac:dyDescent="0.25">
      <c r="D370" s="4" t="str">
        <f>IF(ISNUMBER(MATCH(B370, inventario!$A$2:$A$1001)), _xlfn.XLOOKUP(B370,inventario!$A$2:$A$1001,inventario!$E$2:$E$1001), "")</f>
        <v/>
      </c>
      <c r="E370" s="4" t="str">
        <f>IF(ISNUMBER(MATCH(B370, inventario!$A$2:$A$1001)), C370*_xlfn.XLOOKUP(B370,inventario!$A$2:$A$1001,inventario!$E$2:$E$1001), "")</f>
        <v/>
      </c>
    </row>
    <row r="371" spans="4:5" x14ac:dyDescent="0.25">
      <c r="D371" s="4" t="str">
        <f>IF(ISNUMBER(MATCH(B371, inventario!$A$2:$A$1001)), _xlfn.XLOOKUP(B371,inventario!$A$2:$A$1001,inventario!$E$2:$E$1001), "")</f>
        <v/>
      </c>
      <c r="E371" s="4" t="str">
        <f>IF(ISNUMBER(MATCH(B371, inventario!$A$2:$A$1001)), C371*_xlfn.XLOOKUP(B371,inventario!$A$2:$A$1001,inventario!$E$2:$E$1001), "")</f>
        <v/>
      </c>
    </row>
    <row r="372" spans="4:5" x14ac:dyDescent="0.25">
      <c r="D372" s="4" t="str">
        <f>IF(ISNUMBER(MATCH(B372, inventario!$A$2:$A$1001)), _xlfn.XLOOKUP(B372,inventario!$A$2:$A$1001,inventario!$E$2:$E$1001), "")</f>
        <v/>
      </c>
      <c r="E372" s="4" t="str">
        <f>IF(ISNUMBER(MATCH(B372, inventario!$A$2:$A$1001)), C372*_xlfn.XLOOKUP(B372,inventario!$A$2:$A$1001,inventario!$E$2:$E$1001), "")</f>
        <v/>
      </c>
    </row>
    <row r="373" spans="4:5" x14ac:dyDescent="0.25">
      <c r="D373" s="4" t="str">
        <f>IF(ISNUMBER(MATCH(B373, inventario!$A$2:$A$1001)), _xlfn.XLOOKUP(B373,inventario!$A$2:$A$1001,inventario!$E$2:$E$1001), "")</f>
        <v/>
      </c>
      <c r="E373" s="4" t="str">
        <f>IF(ISNUMBER(MATCH(B373, inventario!$A$2:$A$1001)), C373*_xlfn.XLOOKUP(B373,inventario!$A$2:$A$1001,inventario!$E$2:$E$1001), "")</f>
        <v/>
      </c>
    </row>
    <row r="374" spans="4:5" x14ac:dyDescent="0.25">
      <c r="D374" s="4" t="str">
        <f>IF(ISNUMBER(MATCH(B374, inventario!$A$2:$A$1001)), _xlfn.XLOOKUP(B374,inventario!$A$2:$A$1001,inventario!$E$2:$E$1001), "")</f>
        <v/>
      </c>
      <c r="E374" s="4" t="str">
        <f>IF(ISNUMBER(MATCH(B374, inventario!$A$2:$A$1001)), C374*_xlfn.XLOOKUP(B374,inventario!$A$2:$A$1001,inventario!$E$2:$E$1001), "")</f>
        <v/>
      </c>
    </row>
    <row r="375" spans="4:5" x14ac:dyDescent="0.25">
      <c r="D375" s="4" t="str">
        <f>IF(ISNUMBER(MATCH(B375, inventario!$A$2:$A$1001)), _xlfn.XLOOKUP(B375,inventario!$A$2:$A$1001,inventario!$E$2:$E$1001), "")</f>
        <v/>
      </c>
      <c r="E375" s="4" t="str">
        <f>IF(ISNUMBER(MATCH(B375, inventario!$A$2:$A$1001)), C375*_xlfn.XLOOKUP(B375,inventario!$A$2:$A$1001,inventario!$E$2:$E$1001), "")</f>
        <v/>
      </c>
    </row>
    <row r="376" spans="4:5" x14ac:dyDescent="0.25">
      <c r="D376" s="4" t="str">
        <f>IF(ISNUMBER(MATCH(B376, inventario!$A$2:$A$1001)), _xlfn.XLOOKUP(B376,inventario!$A$2:$A$1001,inventario!$E$2:$E$1001), "")</f>
        <v/>
      </c>
      <c r="E376" s="4" t="str">
        <f>IF(ISNUMBER(MATCH(B376, inventario!$A$2:$A$1001)), C376*_xlfn.XLOOKUP(B376,inventario!$A$2:$A$1001,inventario!$E$2:$E$1001), "")</f>
        <v/>
      </c>
    </row>
    <row r="377" spans="4:5" x14ac:dyDescent="0.25">
      <c r="D377" s="4" t="str">
        <f>IF(ISNUMBER(MATCH(B377, inventario!$A$2:$A$1001)), _xlfn.XLOOKUP(B377,inventario!$A$2:$A$1001,inventario!$E$2:$E$1001), "")</f>
        <v/>
      </c>
      <c r="E377" s="4" t="str">
        <f>IF(ISNUMBER(MATCH(B377, inventario!$A$2:$A$1001)), C377*_xlfn.XLOOKUP(B377,inventario!$A$2:$A$1001,inventario!$E$2:$E$1001), "")</f>
        <v/>
      </c>
    </row>
    <row r="378" spans="4:5" x14ac:dyDescent="0.25">
      <c r="D378" s="4" t="str">
        <f>IF(ISNUMBER(MATCH(B378, inventario!$A$2:$A$1001)), _xlfn.XLOOKUP(B378,inventario!$A$2:$A$1001,inventario!$E$2:$E$1001), "")</f>
        <v/>
      </c>
      <c r="E378" s="4" t="str">
        <f>IF(ISNUMBER(MATCH(B378, inventario!$A$2:$A$1001)), C378*_xlfn.XLOOKUP(B378,inventario!$A$2:$A$1001,inventario!$E$2:$E$1001), "")</f>
        <v/>
      </c>
    </row>
    <row r="379" spans="4:5" x14ac:dyDescent="0.25">
      <c r="D379" s="4" t="str">
        <f>IF(ISNUMBER(MATCH(B379, inventario!$A$2:$A$1001)), _xlfn.XLOOKUP(B379,inventario!$A$2:$A$1001,inventario!$E$2:$E$1001), "")</f>
        <v/>
      </c>
      <c r="E379" s="4" t="str">
        <f>IF(ISNUMBER(MATCH(B379, inventario!$A$2:$A$1001)), C379*_xlfn.XLOOKUP(B379,inventario!$A$2:$A$1001,inventario!$E$2:$E$1001), "")</f>
        <v/>
      </c>
    </row>
    <row r="380" spans="4:5" x14ac:dyDescent="0.25">
      <c r="D380" s="4" t="str">
        <f>IF(ISNUMBER(MATCH(B380, inventario!$A$2:$A$1001)), _xlfn.XLOOKUP(B380,inventario!$A$2:$A$1001,inventario!$E$2:$E$1001), "")</f>
        <v/>
      </c>
      <c r="E380" s="4" t="str">
        <f>IF(ISNUMBER(MATCH(B380, inventario!$A$2:$A$1001)), C380*_xlfn.XLOOKUP(B380,inventario!$A$2:$A$1001,inventario!$E$2:$E$1001), "")</f>
        <v/>
      </c>
    </row>
    <row r="381" spans="4:5" x14ac:dyDescent="0.25">
      <c r="D381" s="4" t="str">
        <f>IF(ISNUMBER(MATCH(B381, inventario!$A$2:$A$1001)), _xlfn.XLOOKUP(B381,inventario!$A$2:$A$1001,inventario!$E$2:$E$1001), "")</f>
        <v/>
      </c>
      <c r="E381" s="4" t="str">
        <f>IF(ISNUMBER(MATCH(B381, inventario!$A$2:$A$1001)), C381*_xlfn.XLOOKUP(B381,inventario!$A$2:$A$1001,inventario!$E$2:$E$1001), "")</f>
        <v/>
      </c>
    </row>
    <row r="382" spans="4:5" x14ac:dyDescent="0.25">
      <c r="D382" s="4" t="str">
        <f>IF(ISNUMBER(MATCH(B382, inventario!$A$2:$A$1001)), _xlfn.XLOOKUP(B382,inventario!$A$2:$A$1001,inventario!$E$2:$E$1001), "")</f>
        <v/>
      </c>
      <c r="E382" s="4" t="str">
        <f>IF(ISNUMBER(MATCH(B382, inventario!$A$2:$A$1001)), C382*_xlfn.XLOOKUP(B382,inventario!$A$2:$A$1001,inventario!$E$2:$E$1001), "")</f>
        <v/>
      </c>
    </row>
    <row r="383" spans="4:5" x14ac:dyDescent="0.25">
      <c r="D383" s="4" t="str">
        <f>IF(ISNUMBER(MATCH(B383, inventario!$A$2:$A$1001)), _xlfn.XLOOKUP(B383,inventario!$A$2:$A$1001,inventario!$E$2:$E$1001), "")</f>
        <v/>
      </c>
      <c r="E383" s="4" t="str">
        <f>IF(ISNUMBER(MATCH(B383, inventario!$A$2:$A$1001)), C383*_xlfn.XLOOKUP(B383,inventario!$A$2:$A$1001,inventario!$E$2:$E$1001), "")</f>
        <v/>
      </c>
    </row>
    <row r="384" spans="4:5" x14ac:dyDescent="0.25">
      <c r="D384" s="4" t="str">
        <f>IF(ISNUMBER(MATCH(B384, inventario!$A$2:$A$1001)), _xlfn.XLOOKUP(B384,inventario!$A$2:$A$1001,inventario!$E$2:$E$1001), "")</f>
        <v/>
      </c>
      <c r="E384" s="4" t="str">
        <f>IF(ISNUMBER(MATCH(B384, inventario!$A$2:$A$1001)), C384*_xlfn.XLOOKUP(B384,inventario!$A$2:$A$1001,inventario!$E$2:$E$1001), "")</f>
        <v/>
      </c>
    </row>
    <row r="385" spans="4:5" x14ac:dyDescent="0.25">
      <c r="D385" s="4" t="str">
        <f>IF(ISNUMBER(MATCH(B385, inventario!$A$2:$A$1001)), _xlfn.XLOOKUP(B385,inventario!$A$2:$A$1001,inventario!$E$2:$E$1001), "")</f>
        <v/>
      </c>
      <c r="E385" s="4" t="str">
        <f>IF(ISNUMBER(MATCH(B385, inventario!$A$2:$A$1001)), C385*_xlfn.XLOOKUP(B385,inventario!$A$2:$A$1001,inventario!$E$2:$E$1001), "")</f>
        <v/>
      </c>
    </row>
    <row r="386" spans="4:5" x14ac:dyDescent="0.25">
      <c r="D386" s="4" t="str">
        <f>IF(ISNUMBER(MATCH(B386, inventario!$A$2:$A$1001)), _xlfn.XLOOKUP(B386,inventario!$A$2:$A$1001,inventario!$E$2:$E$1001), "")</f>
        <v/>
      </c>
      <c r="E386" s="4" t="str">
        <f>IF(ISNUMBER(MATCH(B386, inventario!$A$2:$A$1001)), C386*_xlfn.XLOOKUP(B386,inventario!$A$2:$A$1001,inventario!$E$2:$E$1001), "")</f>
        <v/>
      </c>
    </row>
    <row r="387" spans="4:5" x14ac:dyDescent="0.25">
      <c r="D387" s="4" t="str">
        <f>IF(ISNUMBER(MATCH(B387, inventario!$A$2:$A$1001)), _xlfn.XLOOKUP(B387,inventario!$A$2:$A$1001,inventario!$E$2:$E$1001), "")</f>
        <v/>
      </c>
      <c r="E387" s="4" t="str">
        <f>IF(ISNUMBER(MATCH(B387, inventario!$A$2:$A$1001)), C387*_xlfn.XLOOKUP(B387,inventario!$A$2:$A$1001,inventario!$E$2:$E$1001), "")</f>
        <v/>
      </c>
    </row>
    <row r="388" spans="4:5" x14ac:dyDescent="0.25">
      <c r="D388" s="4" t="str">
        <f>IF(ISNUMBER(MATCH(B388, inventario!$A$2:$A$1001)), _xlfn.XLOOKUP(B388,inventario!$A$2:$A$1001,inventario!$E$2:$E$1001), "")</f>
        <v/>
      </c>
      <c r="E388" s="4" t="str">
        <f>IF(ISNUMBER(MATCH(B388, inventario!$A$2:$A$1001)), C388*_xlfn.XLOOKUP(B388,inventario!$A$2:$A$1001,inventario!$E$2:$E$1001), "")</f>
        <v/>
      </c>
    </row>
    <row r="389" spans="4:5" x14ac:dyDescent="0.25">
      <c r="D389" s="4" t="str">
        <f>IF(ISNUMBER(MATCH(B389, inventario!$A$2:$A$1001)), _xlfn.XLOOKUP(B389,inventario!$A$2:$A$1001,inventario!$E$2:$E$1001), "")</f>
        <v/>
      </c>
      <c r="E389" s="4" t="str">
        <f>IF(ISNUMBER(MATCH(B389, inventario!$A$2:$A$1001)), C389*_xlfn.XLOOKUP(B389,inventario!$A$2:$A$1001,inventario!$E$2:$E$1001), "")</f>
        <v/>
      </c>
    </row>
    <row r="390" spans="4:5" x14ac:dyDescent="0.25">
      <c r="D390" s="4" t="str">
        <f>IF(ISNUMBER(MATCH(B390, inventario!$A$2:$A$1001)), _xlfn.XLOOKUP(B390,inventario!$A$2:$A$1001,inventario!$E$2:$E$1001), "")</f>
        <v/>
      </c>
      <c r="E390" s="4" t="str">
        <f>IF(ISNUMBER(MATCH(B390, inventario!$A$2:$A$1001)), C390*_xlfn.XLOOKUP(B390,inventario!$A$2:$A$1001,inventario!$E$2:$E$1001), "")</f>
        <v/>
      </c>
    </row>
    <row r="391" spans="4:5" x14ac:dyDescent="0.25">
      <c r="D391" s="4" t="str">
        <f>IF(ISNUMBER(MATCH(B391, inventario!$A$2:$A$1001)), _xlfn.XLOOKUP(B391,inventario!$A$2:$A$1001,inventario!$E$2:$E$1001), "")</f>
        <v/>
      </c>
      <c r="E391" s="4" t="str">
        <f>IF(ISNUMBER(MATCH(B391, inventario!$A$2:$A$1001)), C391*_xlfn.XLOOKUP(B391,inventario!$A$2:$A$1001,inventario!$E$2:$E$1001), "")</f>
        <v/>
      </c>
    </row>
    <row r="392" spans="4:5" x14ac:dyDescent="0.25">
      <c r="D392" s="4" t="str">
        <f>IF(ISNUMBER(MATCH(B392, inventario!$A$2:$A$1001)), _xlfn.XLOOKUP(B392,inventario!$A$2:$A$1001,inventario!$E$2:$E$1001), "")</f>
        <v/>
      </c>
      <c r="E392" s="4" t="str">
        <f>IF(ISNUMBER(MATCH(B392, inventario!$A$2:$A$1001)), C392*_xlfn.XLOOKUP(B392,inventario!$A$2:$A$1001,inventario!$E$2:$E$1001), "")</f>
        <v/>
      </c>
    </row>
    <row r="393" spans="4:5" x14ac:dyDescent="0.25">
      <c r="D393" s="4" t="str">
        <f>IF(ISNUMBER(MATCH(B393, inventario!$A$2:$A$1001)), _xlfn.XLOOKUP(B393,inventario!$A$2:$A$1001,inventario!$E$2:$E$1001), "")</f>
        <v/>
      </c>
      <c r="E393" s="4" t="str">
        <f>IF(ISNUMBER(MATCH(B393, inventario!$A$2:$A$1001)), C393*_xlfn.XLOOKUP(B393,inventario!$A$2:$A$1001,inventario!$E$2:$E$1001), "")</f>
        <v/>
      </c>
    </row>
    <row r="394" spans="4:5" x14ac:dyDescent="0.25">
      <c r="D394" s="4" t="str">
        <f>IF(ISNUMBER(MATCH(B394, inventario!$A$2:$A$1001)), _xlfn.XLOOKUP(B394,inventario!$A$2:$A$1001,inventario!$E$2:$E$1001), "")</f>
        <v/>
      </c>
      <c r="E394" s="4" t="str">
        <f>IF(ISNUMBER(MATCH(B394, inventario!$A$2:$A$1001)), C394*_xlfn.XLOOKUP(B394,inventario!$A$2:$A$1001,inventario!$E$2:$E$1001), "")</f>
        <v/>
      </c>
    </row>
    <row r="395" spans="4:5" x14ac:dyDescent="0.25">
      <c r="D395" s="4" t="str">
        <f>IF(ISNUMBER(MATCH(B395, inventario!$A$2:$A$1001)), _xlfn.XLOOKUP(B395,inventario!$A$2:$A$1001,inventario!$E$2:$E$1001), "")</f>
        <v/>
      </c>
      <c r="E395" s="4" t="str">
        <f>IF(ISNUMBER(MATCH(B395, inventario!$A$2:$A$1001)), C395*_xlfn.XLOOKUP(B395,inventario!$A$2:$A$1001,inventario!$E$2:$E$1001), "")</f>
        <v/>
      </c>
    </row>
    <row r="396" spans="4:5" x14ac:dyDescent="0.25">
      <c r="D396" s="4" t="str">
        <f>IF(ISNUMBER(MATCH(B396, inventario!$A$2:$A$1001)), _xlfn.XLOOKUP(B396,inventario!$A$2:$A$1001,inventario!$E$2:$E$1001), "")</f>
        <v/>
      </c>
      <c r="E396" s="4" t="str">
        <f>IF(ISNUMBER(MATCH(B396, inventario!$A$2:$A$1001)), C396*_xlfn.XLOOKUP(B396,inventario!$A$2:$A$1001,inventario!$E$2:$E$1001), "")</f>
        <v/>
      </c>
    </row>
    <row r="397" spans="4:5" x14ac:dyDescent="0.25">
      <c r="D397" s="4" t="str">
        <f>IF(ISNUMBER(MATCH(B397, inventario!$A$2:$A$1001)), _xlfn.XLOOKUP(B397,inventario!$A$2:$A$1001,inventario!$E$2:$E$1001), "")</f>
        <v/>
      </c>
      <c r="E397" s="4" t="str">
        <f>IF(ISNUMBER(MATCH(B397, inventario!$A$2:$A$1001)), C397*_xlfn.XLOOKUP(B397,inventario!$A$2:$A$1001,inventario!$E$2:$E$1001), "")</f>
        <v/>
      </c>
    </row>
    <row r="398" spans="4:5" x14ac:dyDescent="0.25">
      <c r="D398" s="4" t="str">
        <f>IF(ISNUMBER(MATCH(B398, inventario!$A$2:$A$1001)), _xlfn.XLOOKUP(B398,inventario!$A$2:$A$1001,inventario!$E$2:$E$1001), "")</f>
        <v/>
      </c>
      <c r="E398" s="4" t="str">
        <f>IF(ISNUMBER(MATCH(B398, inventario!$A$2:$A$1001)), C398*_xlfn.XLOOKUP(B398,inventario!$A$2:$A$1001,inventario!$E$2:$E$1001), "")</f>
        <v/>
      </c>
    </row>
    <row r="399" spans="4:5" x14ac:dyDescent="0.25">
      <c r="D399" s="4" t="str">
        <f>IF(ISNUMBER(MATCH(B399, inventario!$A$2:$A$1001)), _xlfn.XLOOKUP(B399,inventario!$A$2:$A$1001,inventario!$E$2:$E$1001), "")</f>
        <v/>
      </c>
      <c r="E399" s="4" t="str">
        <f>IF(ISNUMBER(MATCH(B399, inventario!$A$2:$A$1001)), C399*_xlfn.XLOOKUP(B399,inventario!$A$2:$A$1001,inventario!$E$2:$E$1001), "")</f>
        <v/>
      </c>
    </row>
    <row r="400" spans="4:5" x14ac:dyDescent="0.25">
      <c r="D400" s="4" t="str">
        <f>IF(ISNUMBER(MATCH(B400, inventario!$A$2:$A$1001)), _xlfn.XLOOKUP(B400,inventario!$A$2:$A$1001,inventario!$E$2:$E$1001), "")</f>
        <v/>
      </c>
      <c r="E400" s="4" t="str">
        <f>IF(ISNUMBER(MATCH(B400, inventario!$A$2:$A$1001)), C400*_xlfn.XLOOKUP(B400,inventario!$A$2:$A$1001,inventario!$E$2:$E$1001), "")</f>
        <v/>
      </c>
    </row>
    <row r="401" spans="4:5" x14ac:dyDescent="0.25">
      <c r="D401" s="4" t="str">
        <f>IF(ISNUMBER(MATCH(B401, inventario!$A$2:$A$1001)), _xlfn.XLOOKUP(B401,inventario!$A$2:$A$1001,inventario!$E$2:$E$1001), "")</f>
        <v/>
      </c>
      <c r="E401" s="4" t="str">
        <f>IF(ISNUMBER(MATCH(B401, inventario!$A$2:$A$1001)), C401*_xlfn.XLOOKUP(B401,inventario!$A$2:$A$1001,inventario!$E$2:$E$1001), "")</f>
        <v/>
      </c>
    </row>
    <row r="402" spans="4:5" x14ac:dyDescent="0.25">
      <c r="D402" s="4" t="str">
        <f>IF(ISNUMBER(MATCH(B402, inventario!$A$2:$A$1001)), _xlfn.XLOOKUP(B402,inventario!$A$2:$A$1001,inventario!$E$2:$E$1001), "")</f>
        <v/>
      </c>
      <c r="E402" s="4" t="str">
        <f>IF(ISNUMBER(MATCH(B402, inventario!$A$2:$A$1001)), C402*_xlfn.XLOOKUP(B402,inventario!$A$2:$A$1001,inventario!$E$2:$E$1001), "")</f>
        <v/>
      </c>
    </row>
    <row r="403" spans="4:5" x14ac:dyDescent="0.25">
      <c r="D403" s="4" t="str">
        <f>IF(ISNUMBER(MATCH(B403, inventario!$A$2:$A$1001)), _xlfn.XLOOKUP(B403,inventario!$A$2:$A$1001,inventario!$E$2:$E$1001), "")</f>
        <v/>
      </c>
      <c r="E403" s="4" t="str">
        <f>IF(ISNUMBER(MATCH(B403, inventario!$A$2:$A$1001)), C403*_xlfn.XLOOKUP(B403,inventario!$A$2:$A$1001,inventario!$E$2:$E$1001), "")</f>
        <v/>
      </c>
    </row>
    <row r="404" spans="4:5" x14ac:dyDescent="0.25">
      <c r="D404" s="4" t="str">
        <f>IF(ISNUMBER(MATCH(B404, inventario!$A$2:$A$1001)), _xlfn.XLOOKUP(B404,inventario!$A$2:$A$1001,inventario!$E$2:$E$1001), "")</f>
        <v/>
      </c>
      <c r="E404" s="4" t="str">
        <f>IF(ISNUMBER(MATCH(B404, inventario!$A$2:$A$1001)), C404*_xlfn.XLOOKUP(B404,inventario!$A$2:$A$1001,inventario!$E$2:$E$1001), "")</f>
        <v/>
      </c>
    </row>
    <row r="405" spans="4:5" x14ac:dyDescent="0.25">
      <c r="D405" s="4" t="str">
        <f>IF(ISNUMBER(MATCH(B405, inventario!$A$2:$A$1001)), _xlfn.XLOOKUP(B405,inventario!$A$2:$A$1001,inventario!$E$2:$E$1001), "")</f>
        <v/>
      </c>
      <c r="E405" s="4" t="str">
        <f>IF(ISNUMBER(MATCH(B405, inventario!$A$2:$A$1001)), C405*_xlfn.XLOOKUP(B405,inventario!$A$2:$A$1001,inventario!$E$2:$E$1001), "")</f>
        <v/>
      </c>
    </row>
    <row r="406" spans="4:5" x14ac:dyDescent="0.25">
      <c r="D406" s="4" t="str">
        <f>IF(ISNUMBER(MATCH(B406, inventario!$A$2:$A$1001)), _xlfn.XLOOKUP(B406,inventario!$A$2:$A$1001,inventario!$E$2:$E$1001), "")</f>
        <v/>
      </c>
      <c r="E406" s="4" t="str">
        <f>IF(ISNUMBER(MATCH(B406, inventario!$A$2:$A$1001)), C406*_xlfn.XLOOKUP(B406,inventario!$A$2:$A$1001,inventario!$E$2:$E$1001), "")</f>
        <v/>
      </c>
    </row>
    <row r="407" spans="4:5" x14ac:dyDescent="0.25">
      <c r="D407" s="4" t="str">
        <f>IF(ISNUMBER(MATCH(B407, inventario!$A$2:$A$1001)), _xlfn.XLOOKUP(B407,inventario!$A$2:$A$1001,inventario!$E$2:$E$1001), "")</f>
        <v/>
      </c>
      <c r="E407" s="4" t="str">
        <f>IF(ISNUMBER(MATCH(B407, inventario!$A$2:$A$1001)), C407*_xlfn.XLOOKUP(B407,inventario!$A$2:$A$1001,inventario!$E$2:$E$1001), "")</f>
        <v/>
      </c>
    </row>
    <row r="408" spans="4:5" x14ac:dyDescent="0.25">
      <c r="D408" s="4" t="str">
        <f>IF(ISNUMBER(MATCH(B408, inventario!$A$2:$A$1001)), _xlfn.XLOOKUP(B408,inventario!$A$2:$A$1001,inventario!$E$2:$E$1001), "")</f>
        <v/>
      </c>
      <c r="E408" s="4" t="str">
        <f>IF(ISNUMBER(MATCH(B408, inventario!$A$2:$A$1001)), C408*_xlfn.XLOOKUP(B408,inventario!$A$2:$A$1001,inventario!$E$2:$E$1001), "")</f>
        <v/>
      </c>
    </row>
    <row r="409" spans="4:5" x14ac:dyDescent="0.25">
      <c r="D409" s="4" t="str">
        <f>IF(ISNUMBER(MATCH(B409, inventario!$A$2:$A$1001)), _xlfn.XLOOKUP(B409,inventario!$A$2:$A$1001,inventario!$E$2:$E$1001), "")</f>
        <v/>
      </c>
      <c r="E409" s="4" t="str">
        <f>IF(ISNUMBER(MATCH(B409, inventario!$A$2:$A$1001)), C409*_xlfn.XLOOKUP(B409,inventario!$A$2:$A$1001,inventario!$E$2:$E$1001), "")</f>
        <v/>
      </c>
    </row>
    <row r="410" spans="4:5" x14ac:dyDescent="0.25">
      <c r="D410" s="4" t="str">
        <f>IF(ISNUMBER(MATCH(B410, inventario!$A$2:$A$1001)), _xlfn.XLOOKUP(B410,inventario!$A$2:$A$1001,inventario!$E$2:$E$1001), "")</f>
        <v/>
      </c>
      <c r="E410" s="4" t="str">
        <f>IF(ISNUMBER(MATCH(B410, inventario!$A$2:$A$1001)), C410*_xlfn.XLOOKUP(B410,inventario!$A$2:$A$1001,inventario!$E$2:$E$1001), "")</f>
        <v/>
      </c>
    </row>
    <row r="411" spans="4:5" x14ac:dyDescent="0.25">
      <c r="D411" s="4" t="str">
        <f>IF(ISNUMBER(MATCH(B411, inventario!$A$2:$A$1001)), _xlfn.XLOOKUP(B411,inventario!$A$2:$A$1001,inventario!$E$2:$E$1001), "")</f>
        <v/>
      </c>
      <c r="E411" s="4" t="str">
        <f>IF(ISNUMBER(MATCH(B411, inventario!$A$2:$A$1001)), C411*_xlfn.XLOOKUP(B411,inventario!$A$2:$A$1001,inventario!$E$2:$E$1001), "")</f>
        <v/>
      </c>
    </row>
    <row r="412" spans="4:5" x14ac:dyDescent="0.25">
      <c r="D412" s="4" t="str">
        <f>IF(ISNUMBER(MATCH(B412, inventario!$A$2:$A$1001)), _xlfn.XLOOKUP(B412,inventario!$A$2:$A$1001,inventario!$E$2:$E$1001), "")</f>
        <v/>
      </c>
      <c r="E412" s="4" t="str">
        <f>IF(ISNUMBER(MATCH(B412, inventario!$A$2:$A$1001)), C412*_xlfn.XLOOKUP(B412,inventario!$A$2:$A$1001,inventario!$E$2:$E$1001), "")</f>
        <v/>
      </c>
    </row>
    <row r="413" spans="4:5" x14ac:dyDescent="0.25">
      <c r="D413" s="4" t="str">
        <f>IF(ISNUMBER(MATCH(B413, inventario!$A$2:$A$1001)), _xlfn.XLOOKUP(B413,inventario!$A$2:$A$1001,inventario!$E$2:$E$1001), "")</f>
        <v/>
      </c>
      <c r="E413" s="4" t="str">
        <f>IF(ISNUMBER(MATCH(B413, inventario!$A$2:$A$1001)), C413*_xlfn.XLOOKUP(B413,inventario!$A$2:$A$1001,inventario!$E$2:$E$1001), "")</f>
        <v/>
      </c>
    </row>
    <row r="414" spans="4:5" x14ac:dyDescent="0.25">
      <c r="D414" s="4" t="str">
        <f>IF(ISNUMBER(MATCH(B414, inventario!$A$2:$A$1001)), _xlfn.XLOOKUP(B414,inventario!$A$2:$A$1001,inventario!$E$2:$E$1001), "")</f>
        <v/>
      </c>
      <c r="E414" s="4" t="str">
        <f>IF(ISNUMBER(MATCH(B414, inventario!$A$2:$A$1001)), C414*_xlfn.XLOOKUP(B414,inventario!$A$2:$A$1001,inventario!$E$2:$E$1001), "")</f>
        <v/>
      </c>
    </row>
    <row r="415" spans="4:5" x14ac:dyDescent="0.25">
      <c r="D415" s="4" t="str">
        <f>IF(ISNUMBER(MATCH(B415, inventario!$A$2:$A$1001)), _xlfn.XLOOKUP(B415,inventario!$A$2:$A$1001,inventario!$E$2:$E$1001), "")</f>
        <v/>
      </c>
      <c r="E415" s="4" t="str">
        <f>IF(ISNUMBER(MATCH(B415, inventario!$A$2:$A$1001)), C415*_xlfn.XLOOKUP(B415,inventario!$A$2:$A$1001,inventario!$E$2:$E$1001), "")</f>
        <v/>
      </c>
    </row>
    <row r="416" spans="4:5" x14ac:dyDescent="0.25">
      <c r="D416" s="4" t="str">
        <f>IF(ISNUMBER(MATCH(B416, inventario!$A$2:$A$1001)), _xlfn.XLOOKUP(B416,inventario!$A$2:$A$1001,inventario!$E$2:$E$1001), "")</f>
        <v/>
      </c>
      <c r="E416" s="4" t="str">
        <f>IF(ISNUMBER(MATCH(B416, inventario!$A$2:$A$1001)), C416*_xlfn.XLOOKUP(B416,inventario!$A$2:$A$1001,inventario!$E$2:$E$1001), "")</f>
        <v/>
      </c>
    </row>
    <row r="417" spans="4:5" x14ac:dyDescent="0.25">
      <c r="D417" s="4" t="str">
        <f>IF(ISNUMBER(MATCH(B417, inventario!$A$2:$A$1001)), _xlfn.XLOOKUP(B417,inventario!$A$2:$A$1001,inventario!$E$2:$E$1001), "")</f>
        <v/>
      </c>
      <c r="E417" s="4" t="str">
        <f>IF(ISNUMBER(MATCH(B417, inventario!$A$2:$A$1001)), C417*_xlfn.XLOOKUP(B417,inventario!$A$2:$A$1001,inventario!$E$2:$E$1001), "")</f>
        <v/>
      </c>
    </row>
    <row r="418" spans="4:5" x14ac:dyDescent="0.25">
      <c r="D418" s="4" t="str">
        <f>IF(ISNUMBER(MATCH(B418, inventario!$A$2:$A$1001)), _xlfn.XLOOKUP(B418,inventario!$A$2:$A$1001,inventario!$E$2:$E$1001), "")</f>
        <v/>
      </c>
      <c r="E418" s="4" t="str">
        <f>IF(ISNUMBER(MATCH(B418, inventario!$A$2:$A$1001)), C418*_xlfn.XLOOKUP(B418,inventario!$A$2:$A$1001,inventario!$E$2:$E$1001), "")</f>
        <v/>
      </c>
    </row>
    <row r="419" spans="4:5" x14ac:dyDescent="0.25">
      <c r="D419" s="4" t="str">
        <f>IF(ISNUMBER(MATCH(B419, inventario!$A$2:$A$1001)), _xlfn.XLOOKUP(B419,inventario!$A$2:$A$1001,inventario!$E$2:$E$1001), "")</f>
        <v/>
      </c>
      <c r="E419" s="4" t="str">
        <f>IF(ISNUMBER(MATCH(B419, inventario!$A$2:$A$1001)), C419*_xlfn.XLOOKUP(B419,inventario!$A$2:$A$1001,inventario!$E$2:$E$1001), "")</f>
        <v/>
      </c>
    </row>
    <row r="420" spans="4:5" x14ac:dyDescent="0.25">
      <c r="D420" s="4" t="str">
        <f>IF(ISNUMBER(MATCH(B420, inventario!$A$2:$A$1001)), _xlfn.XLOOKUP(B420,inventario!$A$2:$A$1001,inventario!$E$2:$E$1001), "")</f>
        <v/>
      </c>
      <c r="E420" s="4" t="str">
        <f>IF(ISNUMBER(MATCH(B420, inventario!$A$2:$A$1001)), C420*_xlfn.XLOOKUP(B420,inventario!$A$2:$A$1001,inventario!$E$2:$E$1001), "")</f>
        <v/>
      </c>
    </row>
    <row r="421" spans="4:5" x14ac:dyDescent="0.25">
      <c r="D421" s="4" t="str">
        <f>IF(ISNUMBER(MATCH(B421, inventario!$A$2:$A$1001)), _xlfn.XLOOKUP(B421,inventario!$A$2:$A$1001,inventario!$E$2:$E$1001), "")</f>
        <v/>
      </c>
      <c r="E421" s="4" t="str">
        <f>IF(ISNUMBER(MATCH(B421, inventario!$A$2:$A$1001)), C421*_xlfn.XLOOKUP(B421,inventario!$A$2:$A$1001,inventario!$E$2:$E$1001), "")</f>
        <v/>
      </c>
    </row>
    <row r="422" spans="4:5" x14ac:dyDescent="0.25">
      <c r="D422" s="4" t="str">
        <f>IF(ISNUMBER(MATCH(B422, inventario!$A$2:$A$1001)), _xlfn.XLOOKUP(B422,inventario!$A$2:$A$1001,inventario!$E$2:$E$1001), "")</f>
        <v/>
      </c>
      <c r="E422" s="4" t="str">
        <f>IF(ISNUMBER(MATCH(B422, inventario!$A$2:$A$1001)), C422*_xlfn.XLOOKUP(B422,inventario!$A$2:$A$1001,inventario!$E$2:$E$1001), "")</f>
        <v/>
      </c>
    </row>
    <row r="423" spans="4:5" x14ac:dyDescent="0.25">
      <c r="D423" s="4" t="str">
        <f>IF(ISNUMBER(MATCH(B423, inventario!$A$2:$A$1001)), _xlfn.XLOOKUP(B423,inventario!$A$2:$A$1001,inventario!$E$2:$E$1001), "")</f>
        <v/>
      </c>
      <c r="E423" s="4" t="str">
        <f>IF(ISNUMBER(MATCH(B423, inventario!$A$2:$A$1001)), C423*_xlfn.XLOOKUP(B423,inventario!$A$2:$A$1001,inventario!$E$2:$E$1001), "")</f>
        <v/>
      </c>
    </row>
    <row r="424" spans="4:5" x14ac:dyDescent="0.25">
      <c r="D424" s="4" t="str">
        <f>IF(ISNUMBER(MATCH(B424, inventario!$A$2:$A$1001)), _xlfn.XLOOKUP(B424,inventario!$A$2:$A$1001,inventario!$E$2:$E$1001), "")</f>
        <v/>
      </c>
      <c r="E424" s="4" t="str">
        <f>IF(ISNUMBER(MATCH(B424, inventario!$A$2:$A$1001)), C424*_xlfn.XLOOKUP(B424,inventario!$A$2:$A$1001,inventario!$E$2:$E$1001), "")</f>
        <v/>
      </c>
    </row>
    <row r="425" spans="4:5" x14ac:dyDescent="0.25">
      <c r="D425" s="4" t="str">
        <f>IF(ISNUMBER(MATCH(B425, inventario!$A$2:$A$1001)), _xlfn.XLOOKUP(B425,inventario!$A$2:$A$1001,inventario!$E$2:$E$1001), "")</f>
        <v/>
      </c>
      <c r="E425" s="4" t="str">
        <f>IF(ISNUMBER(MATCH(B425, inventario!$A$2:$A$1001)), C425*_xlfn.XLOOKUP(B425,inventario!$A$2:$A$1001,inventario!$E$2:$E$1001), "")</f>
        <v/>
      </c>
    </row>
    <row r="426" spans="4:5" x14ac:dyDescent="0.25">
      <c r="D426" s="4" t="str">
        <f>IF(ISNUMBER(MATCH(B426, inventario!$A$2:$A$1001)), _xlfn.XLOOKUP(B426,inventario!$A$2:$A$1001,inventario!$E$2:$E$1001), "")</f>
        <v/>
      </c>
      <c r="E426" s="4" t="str">
        <f>IF(ISNUMBER(MATCH(B426, inventario!$A$2:$A$1001)), C426*_xlfn.XLOOKUP(B426,inventario!$A$2:$A$1001,inventario!$E$2:$E$1001), "")</f>
        <v/>
      </c>
    </row>
    <row r="427" spans="4:5" x14ac:dyDescent="0.25">
      <c r="D427" s="4" t="str">
        <f>IF(ISNUMBER(MATCH(B427, inventario!$A$2:$A$1001)), _xlfn.XLOOKUP(B427,inventario!$A$2:$A$1001,inventario!$E$2:$E$1001), "")</f>
        <v/>
      </c>
      <c r="E427" s="4" t="str">
        <f>IF(ISNUMBER(MATCH(B427, inventario!$A$2:$A$1001)), C427*_xlfn.XLOOKUP(B427,inventario!$A$2:$A$1001,inventario!$E$2:$E$1001), "")</f>
        <v/>
      </c>
    </row>
    <row r="428" spans="4:5" x14ac:dyDescent="0.25">
      <c r="D428" s="4" t="str">
        <f>IF(ISNUMBER(MATCH(B428, inventario!$A$2:$A$1001)), _xlfn.XLOOKUP(B428,inventario!$A$2:$A$1001,inventario!$E$2:$E$1001), "")</f>
        <v/>
      </c>
      <c r="E428" s="4" t="str">
        <f>IF(ISNUMBER(MATCH(B428, inventario!$A$2:$A$1001)), C428*_xlfn.XLOOKUP(B428,inventario!$A$2:$A$1001,inventario!$E$2:$E$1001), "")</f>
        <v/>
      </c>
    </row>
    <row r="429" spans="4:5" x14ac:dyDescent="0.25">
      <c r="D429" s="4" t="str">
        <f>IF(ISNUMBER(MATCH(B429, inventario!$A$2:$A$1001)), _xlfn.XLOOKUP(B429,inventario!$A$2:$A$1001,inventario!$E$2:$E$1001), "")</f>
        <v/>
      </c>
      <c r="E429" s="4" t="str">
        <f>IF(ISNUMBER(MATCH(B429, inventario!$A$2:$A$1001)), C429*_xlfn.XLOOKUP(B429,inventario!$A$2:$A$1001,inventario!$E$2:$E$1001), "")</f>
        <v/>
      </c>
    </row>
    <row r="430" spans="4:5" x14ac:dyDescent="0.25">
      <c r="D430" s="4" t="str">
        <f>IF(ISNUMBER(MATCH(B430, inventario!$A$2:$A$1001)), _xlfn.XLOOKUP(B430,inventario!$A$2:$A$1001,inventario!$E$2:$E$1001), "")</f>
        <v/>
      </c>
      <c r="E430" s="4" t="str">
        <f>IF(ISNUMBER(MATCH(B430, inventario!$A$2:$A$1001)), C430*_xlfn.XLOOKUP(B430,inventario!$A$2:$A$1001,inventario!$E$2:$E$1001), "")</f>
        <v/>
      </c>
    </row>
    <row r="431" spans="4:5" x14ac:dyDescent="0.25">
      <c r="D431" s="4" t="str">
        <f>IF(ISNUMBER(MATCH(B431, inventario!$A$2:$A$1001)), _xlfn.XLOOKUP(B431,inventario!$A$2:$A$1001,inventario!$E$2:$E$1001), "")</f>
        <v/>
      </c>
      <c r="E431" s="4" t="str">
        <f>IF(ISNUMBER(MATCH(B431, inventario!$A$2:$A$1001)), C431*_xlfn.XLOOKUP(B431,inventario!$A$2:$A$1001,inventario!$E$2:$E$1001), "")</f>
        <v/>
      </c>
    </row>
    <row r="432" spans="4:5" x14ac:dyDescent="0.25">
      <c r="D432" s="4" t="str">
        <f>IF(ISNUMBER(MATCH(B432, inventario!$A$2:$A$1001)), _xlfn.XLOOKUP(B432,inventario!$A$2:$A$1001,inventario!$E$2:$E$1001), "")</f>
        <v/>
      </c>
      <c r="E432" s="4" t="str">
        <f>IF(ISNUMBER(MATCH(B432, inventario!$A$2:$A$1001)), C432*_xlfn.XLOOKUP(B432,inventario!$A$2:$A$1001,inventario!$E$2:$E$1001), "")</f>
        <v/>
      </c>
    </row>
    <row r="433" spans="4:5" x14ac:dyDescent="0.25">
      <c r="D433" s="4" t="str">
        <f>IF(ISNUMBER(MATCH(B433, inventario!$A$2:$A$1001)), _xlfn.XLOOKUP(B433,inventario!$A$2:$A$1001,inventario!$E$2:$E$1001), "")</f>
        <v/>
      </c>
      <c r="E433" s="4" t="str">
        <f>IF(ISNUMBER(MATCH(B433, inventario!$A$2:$A$1001)), C433*_xlfn.XLOOKUP(B433,inventario!$A$2:$A$1001,inventario!$E$2:$E$1001), "")</f>
        <v/>
      </c>
    </row>
    <row r="434" spans="4:5" x14ac:dyDescent="0.25">
      <c r="D434" s="4" t="str">
        <f>IF(ISNUMBER(MATCH(B434, inventario!$A$2:$A$1001)), _xlfn.XLOOKUP(B434,inventario!$A$2:$A$1001,inventario!$E$2:$E$1001), "")</f>
        <v/>
      </c>
      <c r="E434" s="4" t="str">
        <f>IF(ISNUMBER(MATCH(B434, inventario!$A$2:$A$1001)), C434*_xlfn.XLOOKUP(B434,inventario!$A$2:$A$1001,inventario!$E$2:$E$1001), "")</f>
        <v/>
      </c>
    </row>
    <row r="435" spans="4:5" x14ac:dyDescent="0.25">
      <c r="D435" s="4" t="str">
        <f>IF(ISNUMBER(MATCH(B435, inventario!$A$2:$A$1001)), _xlfn.XLOOKUP(B435,inventario!$A$2:$A$1001,inventario!$E$2:$E$1001), "")</f>
        <v/>
      </c>
      <c r="E435" s="4" t="str">
        <f>IF(ISNUMBER(MATCH(B435, inventario!$A$2:$A$1001)), C435*_xlfn.XLOOKUP(B435,inventario!$A$2:$A$1001,inventario!$E$2:$E$1001), "")</f>
        <v/>
      </c>
    </row>
    <row r="436" spans="4:5" x14ac:dyDescent="0.25">
      <c r="D436" s="4" t="str">
        <f>IF(ISNUMBER(MATCH(B436, inventario!$A$2:$A$1001)), _xlfn.XLOOKUP(B436,inventario!$A$2:$A$1001,inventario!$E$2:$E$1001), "")</f>
        <v/>
      </c>
      <c r="E436" s="4" t="str">
        <f>IF(ISNUMBER(MATCH(B436, inventario!$A$2:$A$1001)), C436*_xlfn.XLOOKUP(B436,inventario!$A$2:$A$1001,inventario!$E$2:$E$1001), "")</f>
        <v/>
      </c>
    </row>
    <row r="437" spans="4:5" x14ac:dyDescent="0.25">
      <c r="D437" s="4" t="str">
        <f>IF(ISNUMBER(MATCH(B437, inventario!$A$2:$A$1001)), _xlfn.XLOOKUP(B437,inventario!$A$2:$A$1001,inventario!$E$2:$E$1001), "")</f>
        <v/>
      </c>
      <c r="E437" s="4" t="str">
        <f>IF(ISNUMBER(MATCH(B437, inventario!$A$2:$A$1001)), C437*_xlfn.XLOOKUP(B437,inventario!$A$2:$A$1001,inventario!$E$2:$E$1001), "")</f>
        <v/>
      </c>
    </row>
    <row r="438" spans="4:5" x14ac:dyDescent="0.25">
      <c r="D438" s="4" t="str">
        <f>IF(ISNUMBER(MATCH(B438, inventario!$A$2:$A$1001)), _xlfn.XLOOKUP(B438,inventario!$A$2:$A$1001,inventario!$E$2:$E$1001), "")</f>
        <v/>
      </c>
      <c r="E438" s="4" t="str">
        <f>IF(ISNUMBER(MATCH(B438, inventario!$A$2:$A$1001)), C438*_xlfn.XLOOKUP(B438,inventario!$A$2:$A$1001,inventario!$E$2:$E$1001), "")</f>
        <v/>
      </c>
    </row>
    <row r="439" spans="4:5" x14ac:dyDescent="0.25">
      <c r="D439" s="4" t="str">
        <f>IF(ISNUMBER(MATCH(B439, inventario!$A$2:$A$1001)), _xlfn.XLOOKUP(B439,inventario!$A$2:$A$1001,inventario!$E$2:$E$1001), "")</f>
        <v/>
      </c>
      <c r="E439" s="4" t="str">
        <f>IF(ISNUMBER(MATCH(B439, inventario!$A$2:$A$1001)), C439*_xlfn.XLOOKUP(B439,inventario!$A$2:$A$1001,inventario!$E$2:$E$1001), "")</f>
        <v/>
      </c>
    </row>
    <row r="440" spans="4:5" x14ac:dyDescent="0.25">
      <c r="D440" s="4" t="str">
        <f>IF(ISNUMBER(MATCH(B440, inventario!$A$2:$A$1001)), _xlfn.XLOOKUP(B440,inventario!$A$2:$A$1001,inventario!$E$2:$E$1001), "")</f>
        <v/>
      </c>
      <c r="E440" s="4" t="str">
        <f>IF(ISNUMBER(MATCH(B440, inventario!$A$2:$A$1001)), C440*_xlfn.XLOOKUP(B440,inventario!$A$2:$A$1001,inventario!$E$2:$E$1001), "")</f>
        <v/>
      </c>
    </row>
    <row r="441" spans="4:5" x14ac:dyDescent="0.25">
      <c r="D441" s="4" t="str">
        <f>IF(ISNUMBER(MATCH(B441, inventario!$A$2:$A$1001)), _xlfn.XLOOKUP(B441,inventario!$A$2:$A$1001,inventario!$E$2:$E$1001), "")</f>
        <v/>
      </c>
      <c r="E441" s="4" t="str">
        <f>IF(ISNUMBER(MATCH(B441, inventario!$A$2:$A$1001)), C441*_xlfn.XLOOKUP(B441,inventario!$A$2:$A$1001,inventario!$E$2:$E$1001), "")</f>
        <v/>
      </c>
    </row>
    <row r="442" spans="4:5" x14ac:dyDescent="0.25">
      <c r="D442" s="4" t="str">
        <f>IF(ISNUMBER(MATCH(B442, inventario!$A$2:$A$1001)), _xlfn.XLOOKUP(B442,inventario!$A$2:$A$1001,inventario!$E$2:$E$1001), "")</f>
        <v/>
      </c>
      <c r="E442" s="4" t="str">
        <f>IF(ISNUMBER(MATCH(B442, inventario!$A$2:$A$1001)), C442*_xlfn.XLOOKUP(B442,inventario!$A$2:$A$1001,inventario!$E$2:$E$1001), "")</f>
        <v/>
      </c>
    </row>
    <row r="443" spans="4:5" x14ac:dyDescent="0.25">
      <c r="D443" s="4" t="str">
        <f>IF(ISNUMBER(MATCH(B443, inventario!$A$2:$A$1001)), _xlfn.XLOOKUP(B443,inventario!$A$2:$A$1001,inventario!$E$2:$E$1001), "")</f>
        <v/>
      </c>
      <c r="E443" s="4" t="str">
        <f>IF(ISNUMBER(MATCH(B443, inventario!$A$2:$A$1001)), C443*_xlfn.XLOOKUP(B443,inventario!$A$2:$A$1001,inventario!$E$2:$E$1001), "")</f>
        <v/>
      </c>
    </row>
    <row r="444" spans="4:5" x14ac:dyDescent="0.25">
      <c r="D444" s="4" t="str">
        <f>IF(ISNUMBER(MATCH(B444, inventario!$A$2:$A$1001)), _xlfn.XLOOKUP(B444,inventario!$A$2:$A$1001,inventario!$E$2:$E$1001), "")</f>
        <v/>
      </c>
      <c r="E444" s="4" t="str">
        <f>IF(ISNUMBER(MATCH(B444, inventario!$A$2:$A$1001)), C444*_xlfn.XLOOKUP(B444,inventario!$A$2:$A$1001,inventario!$E$2:$E$1001), "")</f>
        <v/>
      </c>
    </row>
    <row r="445" spans="4:5" x14ac:dyDescent="0.25">
      <c r="D445" s="4" t="str">
        <f>IF(ISNUMBER(MATCH(B445, inventario!$A$2:$A$1001)), _xlfn.XLOOKUP(B445,inventario!$A$2:$A$1001,inventario!$E$2:$E$1001), "")</f>
        <v/>
      </c>
      <c r="E445" s="4" t="str">
        <f>IF(ISNUMBER(MATCH(B445, inventario!$A$2:$A$1001)), C445*_xlfn.XLOOKUP(B445,inventario!$A$2:$A$1001,inventario!$E$2:$E$1001), "")</f>
        <v/>
      </c>
    </row>
    <row r="446" spans="4:5" x14ac:dyDescent="0.25">
      <c r="D446" s="4" t="str">
        <f>IF(ISNUMBER(MATCH(B446, inventario!$A$2:$A$1001)), _xlfn.XLOOKUP(B446,inventario!$A$2:$A$1001,inventario!$E$2:$E$1001), "")</f>
        <v/>
      </c>
      <c r="E446" s="4" t="str">
        <f>IF(ISNUMBER(MATCH(B446, inventario!$A$2:$A$1001)), C446*_xlfn.XLOOKUP(B446,inventario!$A$2:$A$1001,inventario!$E$2:$E$1001), "")</f>
        <v/>
      </c>
    </row>
    <row r="447" spans="4:5" x14ac:dyDescent="0.25">
      <c r="D447" s="4" t="str">
        <f>IF(ISNUMBER(MATCH(B447, inventario!$A$2:$A$1001)), _xlfn.XLOOKUP(B447,inventario!$A$2:$A$1001,inventario!$E$2:$E$1001), "")</f>
        <v/>
      </c>
      <c r="E447" s="4" t="str">
        <f>IF(ISNUMBER(MATCH(B447, inventario!$A$2:$A$1001)), C447*_xlfn.XLOOKUP(B447,inventario!$A$2:$A$1001,inventario!$E$2:$E$1001), "")</f>
        <v/>
      </c>
    </row>
    <row r="448" spans="4:5" x14ac:dyDescent="0.25">
      <c r="D448" s="4" t="str">
        <f>IF(ISNUMBER(MATCH(B448, inventario!$A$2:$A$1001)), _xlfn.XLOOKUP(B448,inventario!$A$2:$A$1001,inventario!$E$2:$E$1001), "")</f>
        <v/>
      </c>
      <c r="E448" s="4" t="str">
        <f>IF(ISNUMBER(MATCH(B448, inventario!$A$2:$A$1001)), C448*_xlfn.XLOOKUP(B448,inventario!$A$2:$A$1001,inventario!$E$2:$E$1001), "")</f>
        <v/>
      </c>
    </row>
    <row r="449" spans="4:5" x14ac:dyDescent="0.25">
      <c r="D449" s="4" t="str">
        <f>IF(ISNUMBER(MATCH(B449, inventario!$A$2:$A$1001)), _xlfn.XLOOKUP(B449,inventario!$A$2:$A$1001,inventario!$E$2:$E$1001), "")</f>
        <v/>
      </c>
      <c r="E449" s="4" t="str">
        <f>IF(ISNUMBER(MATCH(B449, inventario!$A$2:$A$1001)), C449*_xlfn.XLOOKUP(B449,inventario!$A$2:$A$1001,inventario!$E$2:$E$1001), "")</f>
        <v/>
      </c>
    </row>
    <row r="450" spans="4:5" x14ac:dyDescent="0.25">
      <c r="D450" s="4" t="str">
        <f>IF(ISNUMBER(MATCH(B450, inventario!$A$2:$A$1001)), _xlfn.XLOOKUP(B450,inventario!$A$2:$A$1001,inventario!$E$2:$E$1001), "")</f>
        <v/>
      </c>
      <c r="E450" s="4" t="str">
        <f>IF(ISNUMBER(MATCH(B450, inventario!$A$2:$A$1001)), C450*_xlfn.XLOOKUP(B450,inventario!$A$2:$A$1001,inventario!$E$2:$E$1001), "")</f>
        <v/>
      </c>
    </row>
    <row r="451" spans="4:5" x14ac:dyDescent="0.25">
      <c r="D451" s="4" t="str">
        <f>IF(ISNUMBER(MATCH(B451, inventario!$A$2:$A$1001)), _xlfn.XLOOKUP(B451,inventario!$A$2:$A$1001,inventario!$E$2:$E$1001), "")</f>
        <v/>
      </c>
      <c r="E451" s="4" t="str">
        <f>IF(ISNUMBER(MATCH(B451, inventario!$A$2:$A$1001)), C451*_xlfn.XLOOKUP(B451,inventario!$A$2:$A$1001,inventario!$E$2:$E$1001), "")</f>
        <v/>
      </c>
    </row>
    <row r="452" spans="4:5" x14ac:dyDescent="0.25">
      <c r="D452" s="4" t="str">
        <f>IF(ISNUMBER(MATCH(B452, inventario!$A$2:$A$1001)), _xlfn.XLOOKUP(B452,inventario!$A$2:$A$1001,inventario!$E$2:$E$1001), "")</f>
        <v/>
      </c>
      <c r="E452" s="4" t="str">
        <f>IF(ISNUMBER(MATCH(B452, inventario!$A$2:$A$1001)), C452*_xlfn.XLOOKUP(B452,inventario!$A$2:$A$1001,inventario!$E$2:$E$1001), "")</f>
        <v/>
      </c>
    </row>
    <row r="453" spans="4:5" x14ac:dyDescent="0.25">
      <c r="D453" s="4" t="str">
        <f>IF(ISNUMBER(MATCH(B453, inventario!$A$2:$A$1001)), _xlfn.XLOOKUP(B453,inventario!$A$2:$A$1001,inventario!$E$2:$E$1001), "")</f>
        <v/>
      </c>
      <c r="E453" s="4" t="str">
        <f>IF(ISNUMBER(MATCH(B453, inventario!$A$2:$A$1001)), C453*_xlfn.XLOOKUP(B453,inventario!$A$2:$A$1001,inventario!$E$2:$E$1001), "")</f>
        <v/>
      </c>
    </row>
    <row r="454" spans="4:5" x14ac:dyDescent="0.25">
      <c r="D454" s="4" t="str">
        <f>IF(ISNUMBER(MATCH(B454, inventario!$A$2:$A$1001)), _xlfn.XLOOKUP(B454,inventario!$A$2:$A$1001,inventario!$E$2:$E$1001), "")</f>
        <v/>
      </c>
      <c r="E454" s="4" t="str">
        <f>IF(ISNUMBER(MATCH(B454, inventario!$A$2:$A$1001)), C454*_xlfn.XLOOKUP(B454,inventario!$A$2:$A$1001,inventario!$E$2:$E$1001), "")</f>
        <v/>
      </c>
    </row>
    <row r="455" spans="4:5" x14ac:dyDescent="0.25">
      <c r="D455" s="4" t="str">
        <f>IF(ISNUMBER(MATCH(B455, inventario!$A$2:$A$1001)), _xlfn.XLOOKUP(B455,inventario!$A$2:$A$1001,inventario!$E$2:$E$1001), "")</f>
        <v/>
      </c>
      <c r="E455" s="4" t="str">
        <f>IF(ISNUMBER(MATCH(B455, inventario!$A$2:$A$1001)), C455*_xlfn.XLOOKUP(B455,inventario!$A$2:$A$1001,inventario!$E$2:$E$1001), "")</f>
        <v/>
      </c>
    </row>
    <row r="456" spans="4:5" x14ac:dyDescent="0.25">
      <c r="D456" s="4" t="str">
        <f>IF(ISNUMBER(MATCH(B456, inventario!$A$2:$A$1001)), _xlfn.XLOOKUP(B456,inventario!$A$2:$A$1001,inventario!$E$2:$E$1001), "")</f>
        <v/>
      </c>
      <c r="E456" s="4" t="str">
        <f>IF(ISNUMBER(MATCH(B456, inventario!$A$2:$A$1001)), C456*_xlfn.XLOOKUP(B456,inventario!$A$2:$A$1001,inventario!$E$2:$E$1001), "")</f>
        <v/>
      </c>
    </row>
    <row r="457" spans="4:5" x14ac:dyDescent="0.25">
      <c r="D457" s="4" t="str">
        <f>IF(ISNUMBER(MATCH(B457, inventario!$A$2:$A$1001)), _xlfn.XLOOKUP(B457,inventario!$A$2:$A$1001,inventario!$E$2:$E$1001), "")</f>
        <v/>
      </c>
      <c r="E457" s="4" t="str">
        <f>IF(ISNUMBER(MATCH(B457, inventario!$A$2:$A$1001)), C457*_xlfn.XLOOKUP(B457,inventario!$A$2:$A$1001,inventario!$E$2:$E$1001), "")</f>
        <v/>
      </c>
    </row>
    <row r="458" spans="4:5" x14ac:dyDescent="0.25">
      <c r="D458" s="4" t="str">
        <f>IF(ISNUMBER(MATCH(B458, inventario!$A$2:$A$1001)), _xlfn.XLOOKUP(B458,inventario!$A$2:$A$1001,inventario!$E$2:$E$1001), "")</f>
        <v/>
      </c>
      <c r="E458" s="4" t="str">
        <f>IF(ISNUMBER(MATCH(B458, inventario!$A$2:$A$1001)), C458*_xlfn.XLOOKUP(B458,inventario!$A$2:$A$1001,inventario!$E$2:$E$1001), "")</f>
        <v/>
      </c>
    </row>
    <row r="459" spans="4:5" x14ac:dyDescent="0.25">
      <c r="D459" s="4" t="str">
        <f>IF(ISNUMBER(MATCH(B459, inventario!$A$2:$A$1001)), _xlfn.XLOOKUP(B459,inventario!$A$2:$A$1001,inventario!$E$2:$E$1001), "")</f>
        <v/>
      </c>
      <c r="E459" s="4" t="str">
        <f>IF(ISNUMBER(MATCH(B459, inventario!$A$2:$A$1001)), C459*_xlfn.XLOOKUP(B459,inventario!$A$2:$A$1001,inventario!$E$2:$E$1001), "")</f>
        <v/>
      </c>
    </row>
    <row r="460" spans="4:5" x14ac:dyDescent="0.25">
      <c r="D460" s="4" t="str">
        <f>IF(ISNUMBER(MATCH(B460, inventario!$A$2:$A$1001)), _xlfn.XLOOKUP(B460,inventario!$A$2:$A$1001,inventario!$E$2:$E$1001), "")</f>
        <v/>
      </c>
      <c r="E460" s="4" t="str">
        <f>IF(ISNUMBER(MATCH(B460, inventario!$A$2:$A$1001)), C460*_xlfn.XLOOKUP(B460,inventario!$A$2:$A$1001,inventario!$E$2:$E$1001), "")</f>
        <v/>
      </c>
    </row>
    <row r="461" spans="4:5" x14ac:dyDescent="0.25">
      <c r="D461" s="4" t="str">
        <f>IF(ISNUMBER(MATCH(B461, inventario!$A$2:$A$1001)), _xlfn.XLOOKUP(B461,inventario!$A$2:$A$1001,inventario!$E$2:$E$1001), "")</f>
        <v/>
      </c>
      <c r="E461" s="4" t="str">
        <f>IF(ISNUMBER(MATCH(B461, inventario!$A$2:$A$1001)), C461*_xlfn.XLOOKUP(B461,inventario!$A$2:$A$1001,inventario!$E$2:$E$1001), "")</f>
        <v/>
      </c>
    </row>
    <row r="462" spans="4:5" x14ac:dyDescent="0.25">
      <c r="D462" s="4" t="str">
        <f>IF(ISNUMBER(MATCH(B462, inventario!$A$2:$A$1001)), _xlfn.XLOOKUP(B462,inventario!$A$2:$A$1001,inventario!$E$2:$E$1001), "")</f>
        <v/>
      </c>
      <c r="E462" s="4" t="str">
        <f>IF(ISNUMBER(MATCH(B462, inventario!$A$2:$A$1001)), C462*_xlfn.XLOOKUP(B462,inventario!$A$2:$A$1001,inventario!$E$2:$E$1001), "")</f>
        <v/>
      </c>
    </row>
    <row r="463" spans="4:5" x14ac:dyDescent="0.25">
      <c r="D463" s="4" t="str">
        <f>IF(ISNUMBER(MATCH(B463, inventario!$A$2:$A$1001)), _xlfn.XLOOKUP(B463,inventario!$A$2:$A$1001,inventario!$E$2:$E$1001), "")</f>
        <v/>
      </c>
      <c r="E463" s="4" t="str">
        <f>IF(ISNUMBER(MATCH(B463, inventario!$A$2:$A$1001)), C463*_xlfn.XLOOKUP(B463,inventario!$A$2:$A$1001,inventario!$E$2:$E$1001), "")</f>
        <v/>
      </c>
    </row>
    <row r="464" spans="4:5" x14ac:dyDescent="0.25">
      <c r="D464" s="4" t="str">
        <f>IF(ISNUMBER(MATCH(B464, inventario!$A$2:$A$1001)), _xlfn.XLOOKUP(B464,inventario!$A$2:$A$1001,inventario!$E$2:$E$1001), "")</f>
        <v/>
      </c>
      <c r="E464" s="4" t="str">
        <f>IF(ISNUMBER(MATCH(B464, inventario!$A$2:$A$1001)), C464*_xlfn.XLOOKUP(B464,inventario!$A$2:$A$1001,inventario!$E$2:$E$1001), "")</f>
        <v/>
      </c>
    </row>
    <row r="465" spans="4:5" x14ac:dyDescent="0.25">
      <c r="D465" s="4" t="str">
        <f>IF(ISNUMBER(MATCH(B465, inventario!$A$2:$A$1001)), _xlfn.XLOOKUP(B465,inventario!$A$2:$A$1001,inventario!$E$2:$E$1001), "")</f>
        <v/>
      </c>
      <c r="E465" s="4" t="str">
        <f>IF(ISNUMBER(MATCH(B465, inventario!$A$2:$A$1001)), C465*_xlfn.XLOOKUP(B465,inventario!$A$2:$A$1001,inventario!$E$2:$E$1001), "")</f>
        <v/>
      </c>
    </row>
    <row r="466" spans="4:5" x14ac:dyDescent="0.25">
      <c r="D466" s="4" t="str">
        <f>IF(ISNUMBER(MATCH(B466, inventario!$A$2:$A$1001)), _xlfn.XLOOKUP(B466,inventario!$A$2:$A$1001,inventario!$E$2:$E$1001), "")</f>
        <v/>
      </c>
      <c r="E466" s="4" t="str">
        <f>IF(ISNUMBER(MATCH(B466, inventario!$A$2:$A$1001)), C466*_xlfn.XLOOKUP(B466,inventario!$A$2:$A$1001,inventario!$E$2:$E$1001), "")</f>
        <v/>
      </c>
    </row>
    <row r="467" spans="4:5" x14ac:dyDescent="0.25">
      <c r="D467" s="4" t="str">
        <f>IF(ISNUMBER(MATCH(B467, inventario!$A$2:$A$1001)), _xlfn.XLOOKUP(B467,inventario!$A$2:$A$1001,inventario!$E$2:$E$1001), "")</f>
        <v/>
      </c>
      <c r="E467" s="4" t="str">
        <f>IF(ISNUMBER(MATCH(B467, inventario!$A$2:$A$1001)), C467*_xlfn.XLOOKUP(B467,inventario!$A$2:$A$1001,inventario!$E$2:$E$1001), "")</f>
        <v/>
      </c>
    </row>
    <row r="468" spans="4:5" x14ac:dyDescent="0.25">
      <c r="D468" s="4" t="str">
        <f>IF(ISNUMBER(MATCH(B468, inventario!$A$2:$A$1001)), _xlfn.XLOOKUP(B468,inventario!$A$2:$A$1001,inventario!$E$2:$E$1001), "")</f>
        <v/>
      </c>
      <c r="E468" s="4" t="str">
        <f>IF(ISNUMBER(MATCH(B468, inventario!$A$2:$A$1001)), C468*_xlfn.XLOOKUP(B468,inventario!$A$2:$A$1001,inventario!$E$2:$E$1001), "")</f>
        <v/>
      </c>
    </row>
    <row r="469" spans="4:5" x14ac:dyDescent="0.25">
      <c r="D469" s="4" t="str">
        <f>IF(ISNUMBER(MATCH(B469, inventario!$A$2:$A$1001)), _xlfn.XLOOKUP(B469,inventario!$A$2:$A$1001,inventario!$E$2:$E$1001), "")</f>
        <v/>
      </c>
      <c r="E469" s="4" t="str">
        <f>IF(ISNUMBER(MATCH(B469, inventario!$A$2:$A$1001)), C469*_xlfn.XLOOKUP(B469,inventario!$A$2:$A$1001,inventario!$E$2:$E$1001), "")</f>
        <v/>
      </c>
    </row>
    <row r="470" spans="4:5" x14ac:dyDescent="0.25">
      <c r="D470" s="4" t="str">
        <f>IF(ISNUMBER(MATCH(B470, inventario!$A$2:$A$1001)), _xlfn.XLOOKUP(B470,inventario!$A$2:$A$1001,inventario!$E$2:$E$1001), "")</f>
        <v/>
      </c>
      <c r="E470" s="4" t="str">
        <f>IF(ISNUMBER(MATCH(B470, inventario!$A$2:$A$1001)), C470*_xlfn.XLOOKUP(B470,inventario!$A$2:$A$1001,inventario!$E$2:$E$1001), "")</f>
        <v/>
      </c>
    </row>
    <row r="471" spans="4:5" x14ac:dyDescent="0.25">
      <c r="D471" s="4" t="str">
        <f>IF(ISNUMBER(MATCH(B471, inventario!$A$2:$A$1001)), _xlfn.XLOOKUP(B471,inventario!$A$2:$A$1001,inventario!$E$2:$E$1001), "")</f>
        <v/>
      </c>
      <c r="E471" s="4" t="str">
        <f>IF(ISNUMBER(MATCH(B471, inventario!$A$2:$A$1001)), C471*_xlfn.XLOOKUP(B471,inventario!$A$2:$A$1001,inventario!$E$2:$E$1001), "")</f>
        <v/>
      </c>
    </row>
    <row r="472" spans="4:5" x14ac:dyDescent="0.25">
      <c r="D472" s="4" t="str">
        <f>IF(ISNUMBER(MATCH(B472, inventario!$A$2:$A$1001)), _xlfn.XLOOKUP(B472,inventario!$A$2:$A$1001,inventario!$E$2:$E$1001), "")</f>
        <v/>
      </c>
      <c r="E472" s="4" t="str">
        <f>IF(ISNUMBER(MATCH(B472, inventario!$A$2:$A$1001)), C472*_xlfn.XLOOKUP(B472,inventario!$A$2:$A$1001,inventario!$E$2:$E$1001), "")</f>
        <v/>
      </c>
    </row>
    <row r="473" spans="4:5" x14ac:dyDescent="0.25">
      <c r="D473" s="4" t="str">
        <f>IF(ISNUMBER(MATCH(B473, inventario!$A$2:$A$1001)), _xlfn.XLOOKUP(B473,inventario!$A$2:$A$1001,inventario!$E$2:$E$1001), "")</f>
        <v/>
      </c>
      <c r="E473" s="4" t="str">
        <f>IF(ISNUMBER(MATCH(B473, inventario!$A$2:$A$1001)), C473*_xlfn.XLOOKUP(B473,inventario!$A$2:$A$1001,inventario!$E$2:$E$1001), "")</f>
        <v/>
      </c>
    </row>
    <row r="474" spans="4:5" x14ac:dyDescent="0.25">
      <c r="D474" s="4" t="str">
        <f>IF(ISNUMBER(MATCH(B474, inventario!$A$2:$A$1001)), _xlfn.XLOOKUP(B474,inventario!$A$2:$A$1001,inventario!$E$2:$E$1001), "")</f>
        <v/>
      </c>
      <c r="E474" s="4" t="str">
        <f>IF(ISNUMBER(MATCH(B474, inventario!$A$2:$A$1001)), C474*_xlfn.XLOOKUP(B474,inventario!$A$2:$A$1001,inventario!$E$2:$E$1001), "")</f>
        <v/>
      </c>
    </row>
    <row r="475" spans="4:5" x14ac:dyDescent="0.25">
      <c r="D475" s="4" t="str">
        <f>IF(ISNUMBER(MATCH(B475, inventario!$A$2:$A$1001)), _xlfn.XLOOKUP(B475,inventario!$A$2:$A$1001,inventario!$E$2:$E$1001), "")</f>
        <v/>
      </c>
      <c r="E475" s="4" t="str">
        <f>IF(ISNUMBER(MATCH(B475, inventario!$A$2:$A$1001)), C475*_xlfn.XLOOKUP(B475,inventario!$A$2:$A$1001,inventario!$E$2:$E$1001), "")</f>
        <v/>
      </c>
    </row>
    <row r="476" spans="4:5" x14ac:dyDescent="0.25">
      <c r="D476" s="4" t="str">
        <f>IF(ISNUMBER(MATCH(B476, inventario!$A$2:$A$1001)), _xlfn.XLOOKUP(B476,inventario!$A$2:$A$1001,inventario!$E$2:$E$1001), "")</f>
        <v/>
      </c>
      <c r="E476" s="4" t="str">
        <f>IF(ISNUMBER(MATCH(B476, inventario!$A$2:$A$1001)), C476*_xlfn.XLOOKUP(B476,inventario!$A$2:$A$1001,inventario!$E$2:$E$1001), "")</f>
        <v/>
      </c>
    </row>
    <row r="477" spans="4:5" x14ac:dyDescent="0.25">
      <c r="D477" s="4" t="str">
        <f>IF(ISNUMBER(MATCH(B477, inventario!$A$2:$A$1001)), _xlfn.XLOOKUP(B477,inventario!$A$2:$A$1001,inventario!$E$2:$E$1001), "")</f>
        <v/>
      </c>
      <c r="E477" s="4" t="str">
        <f>IF(ISNUMBER(MATCH(B477, inventario!$A$2:$A$1001)), C477*_xlfn.XLOOKUP(B477,inventario!$A$2:$A$1001,inventario!$E$2:$E$1001), "")</f>
        <v/>
      </c>
    </row>
    <row r="478" spans="4:5" x14ac:dyDescent="0.25">
      <c r="D478" s="4" t="str">
        <f>IF(ISNUMBER(MATCH(B478, inventario!$A$2:$A$1001)), _xlfn.XLOOKUP(B478,inventario!$A$2:$A$1001,inventario!$E$2:$E$1001), "")</f>
        <v/>
      </c>
      <c r="E478" s="4" t="str">
        <f>IF(ISNUMBER(MATCH(B478, inventario!$A$2:$A$1001)), C478*_xlfn.XLOOKUP(B478,inventario!$A$2:$A$1001,inventario!$E$2:$E$1001), "")</f>
        <v/>
      </c>
    </row>
    <row r="479" spans="4:5" x14ac:dyDescent="0.25">
      <c r="D479" s="4" t="str">
        <f>IF(ISNUMBER(MATCH(B479, inventario!$A$2:$A$1001)), _xlfn.XLOOKUP(B479,inventario!$A$2:$A$1001,inventario!$E$2:$E$1001), "")</f>
        <v/>
      </c>
      <c r="E479" s="4" t="str">
        <f>IF(ISNUMBER(MATCH(B479, inventario!$A$2:$A$1001)), C479*_xlfn.XLOOKUP(B479,inventario!$A$2:$A$1001,inventario!$E$2:$E$1001), "")</f>
        <v/>
      </c>
    </row>
    <row r="480" spans="4:5" x14ac:dyDescent="0.25">
      <c r="D480" s="4" t="str">
        <f>IF(ISNUMBER(MATCH(B480, inventario!$A$2:$A$1001)), _xlfn.XLOOKUP(B480,inventario!$A$2:$A$1001,inventario!$E$2:$E$1001), "")</f>
        <v/>
      </c>
      <c r="E480" s="4" t="str">
        <f>IF(ISNUMBER(MATCH(B480, inventario!$A$2:$A$1001)), C480*_xlfn.XLOOKUP(B480,inventario!$A$2:$A$1001,inventario!$E$2:$E$1001), "")</f>
        <v/>
      </c>
    </row>
    <row r="481" spans="4:5" x14ac:dyDescent="0.25">
      <c r="D481" s="4" t="str">
        <f>IF(ISNUMBER(MATCH(B481, inventario!$A$2:$A$1001)), _xlfn.XLOOKUP(B481,inventario!$A$2:$A$1001,inventario!$E$2:$E$1001), "")</f>
        <v/>
      </c>
      <c r="E481" s="4" t="str">
        <f>IF(ISNUMBER(MATCH(B481, inventario!$A$2:$A$1001)), C481*_xlfn.XLOOKUP(B481,inventario!$A$2:$A$1001,inventario!$E$2:$E$1001), "")</f>
        <v/>
      </c>
    </row>
    <row r="482" spans="4:5" x14ac:dyDescent="0.25">
      <c r="D482" s="4" t="str">
        <f>IF(ISNUMBER(MATCH(B482, inventario!$A$2:$A$1001)), _xlfn.XLOOKUP(B482,inventario!$A$2:$A$1001,inventario!$E$2:$E$1001), "")</f>
        <v/>
      </c>
      <c r="E482" s="4" t="str">
        <f>IF(ISNUMBER(MATCH(B482, inventario!$A$2:$A$1001)), C482*_xlfn.XLOOKUP(B482,inventario!$A$2:$A$1001,inventario!$E$2:$E$1001), "")</f>
        <v/>
      </c>
    </row>
    <row r="483" spans="4:5" x14ac:dyDescent="0.25">
      <c r="D483" s="4" t="str">
        <f>IF(ISNUMBER(MATCH(B483, inventario!$A$2:$A$1001)), _xlfn.XLOOKUP(B483,inventario!$A$2:$A$1001,inventario!$E$2:$E$1001), "")</f>
        <v/>
      </c>
      <c r="E483" s="4" t="str">
        <f>IF(ISNUMBER(MATCH(B483, inventario!$A$2:$A$1001)), C483*_xlfn.XLOOKUP(B483,inventario!$A$2:$A$1001,inventario!$E$2:$E$1001), "")</f>
        <v/>
      </c>
    </row>
    <row r="484" spans="4:5" x14ac:dyDescent="0.25">
      <c r="D484" s="4" t="str">
        <f>IF(ISNUMBER(MATCH(B484, inventario!$A$2:$A$1001)), _xlfn.XLOOKUP(B484,inventario!$A$2:$A$1001,inventario!$E$2:$E$1001), "")</f>
        <v/>
      </c>
      <c r="E484" s="4" t="str">
        <f>IF(ISNUMBER(MATCH(B484, inventario!$A$2:$A$1001)), C484*_xlfn.XLOOKUP(B484,inventario!$A$2:$A$1001,inventario!$E$2:$E$1001), "")</f>
        <v/>
      </c>
    </row>
    <row r="485" spans="4:5" x14ac:dyDescent="0.25">
      <c r="D485" s="4" t="str">
        <f>IF(ISNUMBER(MATCH(B485, inventario!$A$2:$A$1001)), _xlfn.XLOOKUP(B485,inventario!$A$2:$A$1001,inventario!$E$2:$E$1001), "")</f>
        <v/>
      </c>
      <c r="E485" s="4" t="str">
        <f>IF(ISNUMBER(MATCH(B485, inventario!$A$2:$A$1001)), C485*_xlfn.XLOOKUP(B485,inventario!$A$2:$A$1001,inventario!$E$2:$E$1001), "")</f>
        <v/>
      </c>
    </row>
    <row r="486" spans="4:5" x14ac:dyDescent="0.25">
      <c r="D486" s="4" t="str">
        <f>IF(ISNUMBER(MATCH(B486, inventario!$A$2:$A$1001)), _xlfn.XLOOKUP(B486,inventario!$A$2:$A$1001,inventario!$E$2:$E$1001), "")</f>
        <v/>
      </c>
      <c r="E486" s="4" t="str">
        <f>IF(ISNUMBER(MATCH(B486, inventario!$A$2:$A$1001)), C486*_xlfn.XLOOKUP(B486,inventario!$A$2:$A$1001,inventario!$E$2:$E$1001), "")</f>
        <v/>
      </c>
    </row>
    <row r="487" spans="4:5" x14ac:dyDescent="0.25">
      <c r="D487" s="4" t="str">
        <f>IF(ISNUMBER(MATCH(B487, inventario!$A$2:$A$1001)), _xlfn.XLOOKUP(B487,inventario!$A$2:$A$1001,inventario!$E$2:$E$1001), "")</f>
        <v/>
      </c>
      <c r="E487" s="4" t="str">
        <f>IF(ISNUMBER(MATCH(B487, inventario!$A$2:$A$1001)), C487*_xlfn.XLOOKUP(B487,inventario!$A$2:$A$1001,inventario!$E$2:$E$1001), "")</f>
        <v/>
      </c>
    </row>
    <row r="488" spans="4:5" x14ac:dyDescent="0.25">
      <c r="D488" s="4" t="str">
        <f>IF(ISNUMBER(MATCH(B488, inventario!$A$2:$A$1001)), _xlfn.XLOOKUP(B488,inventario!$A$2:$A$1001,inventario!$E$2:$E$1001), "")</f>
        <v/>
      </c>
      <c r="E488" s="4" t="str">
        <f>IF(ISNUMBER(MATCH(B488, inventario!$A$2:$A$1001)), C488*_xlfn.XLOOKUP(B488,inventario!$A$2:$A$1001,inventario!$E$2:$E$1001), "")</f>
        <v/>
      </c>
    </row>
    <row r="489" spans="4:5" x14ac:dyDescent="0.25">
      <c r="D489" s="4" t="str">
        <f>IF(ISNUMBER(MATCH(B489, inventario!$A$2:$A$1001)), _xlfn.XLOOKUP(B489,inventario!$A$2:$A$1001,inventario!$E$2:$E$1001), "")</f>
        <v/>
      </c>
      <c r="E489" s="4" t="str">
        <f>IF(ISNUMBER(MATCH(B489, inventario!$A$2:$A$1001)), C489*_xlfn.XLOOKUP(B489,inventario!$A$2:$A$1001,inventario!$E$2:$E$1001), "")</f>
        <v/>
      </c>
    </row>
    <row r="490" spans="4:5" x14ac:dyDescent="0.25">
      <c r="D490" s="4" t="str">
        <f>IF(ISNUMBER(MATCH(B490, inventario!$A$2:$A$1001)), _xlfn.XLOOKUP(B490,inventario!$A$2:$A$1001,inventario!$E$2:$E$1001), "")</f>
        <v/>
      </c>
      <c r="E490" s="4" t="str">
        <f>IF(ISNUMBER(MATCH(B490, inventario!$A$2:$A$1001)), C490*_xlfn.XLOOKUP(B490,inventario!$A$2:$A$1001,inventario!$E$2:$E$1001), "")</f>
        <v/>
      </c>
    </row>
    <row r="491" spans="4:5" x14ac:dyDescent="0.25">
      <c r="D491" s="4" t="str">
        <f>IF(ISNUMBER(MATCH(B491, inventario!$A$2:$A$1001)), _xlfn.XLOOKUP(B491,inventario!$A$2:$A$1001,inventario!$E$2:$E$1001), "")</f>
        <v/>
      </c>
      <c r="E491" s="4" t="str">
        <f>IF(ISNUMBER(MATCH(B491, inventario!$A$2:$A$1001)), C491*_xlfn.XLOOKUP(B491,inventario!$A$2:$A$1001,inventario!$E$2:$E$1001), "")</f>
        <v/>
      </c>
    </row>
    <row r="492" spans="4:5" x14ac:dyDescent="0.25">
      <c r="D492" s="4" t="str">
        <f>IF(ISNUMBER(MATCH(B492, inventario!$A$2:$A$1001)), _xlfn.XLOOKUP(B492,inventario!$A$2:$A$1001,inventario!$E$2:$E$1001), "")</f>
        <v/>
      </c>
      <c r="E492" s="4" t="str">
        <f>IF(ISNUMBER(MATCH(B492, inventario!$A$2:$A$1001)), C492*_xlfn.XLOOKUP(B492,inventario!$A$2:$A$1001,inventario!$E$2:$E$1001), "")</f>
        <v/>
      </c>
    </row>
    <row r="493" spans="4:5" x14ac:dyDescent="0.25">
      <c r="D493" s="4" t="str">
        <f>IF(ISNUMBER(MATCH(B493, inventario!$A$2:$A$1001)), _xlfn.XLOOKUP(B493,inventario!$A$2:$A$1001,inventario!$E$2:$E$1001), "")</f>
        <v/>
      </c>
      <c r="E493" s="4" t="str">
        <f>IF(ISNUMBER(MATCH(B493, inventario!$A$2:$A$1001)), C493*_xlfn.XLOOKUP(B493,inventario!$A$2:$A$1001,inventario!$E$2:$E$1001), "")</f>
        <v/>
      </c>
    </row>
    <row r="494" spans="4:5" x14ac:dyDescent="0.25">
      <c r="D494" s="4" t="str">
        <f>IF(ISNUMBER(MATCH(B494, inventario!$A$2:$A$1001)), _xlfn.XLOOKUP(B494,inventario!$A$2:$A$1001,inventario!$E$2:$E$1001), "")</f>
        <v/>
      </c>
      <c r="E494" s="4" t="str">
        <f>IF(ISNUMBER(MATCH(B494, inventario!$A$2:$A$1001)), C494*_xlfn.XLOOKUP(B494,inventario!$A$2:$A$1001,inventario!$E$2:$E$1001), "")</f>
        <v/>
      </c>
    </row>
    <row r="495" spans="4:5" x14ac:dyDescent="0.25">
      <c r="D495" s="4" t="str">
        <f>IF(ISNUMBER(MATCH(B495, inventario!$A$2:$A$1001)), _xlfn.XLOOKUP(B495,inventario!$A$2:$A$1001,inventario!$E$2:$E$1001), "")</f>
        <v/>
      </c>
      <c r="E495" s="4" t="str">
        <f>IF(ISNUMBER(MATCH(B495, inventario!$A$2:$A$1001)), C495*_xlfn.XLOOKUP(B495,inventario!$A$2:$A$1001,inventario!$E$2:$E$1001), "")</f>
        <v/>
      </c>
    </row>
    <row r="496" spans="4:5" x14ac:dyDescent="0.25">
      <c r="D496" s="4" t="str">
        <f>IF(ISNUMBER(MATCH(B496, inventario!$A$2:$A$1001)), _xlfn.XLOOKUP(B496,inventario!$A$2:$A$1001,inventario!$E$2:$E$1001), "")</f>
        <v/>
      </c>
      <c r="E496" s="4" t="str">
        <f>IF(ISNUMBER(MATCH(B496, inventario!$A$2:$A$1001)), C496*_xlfn.XLOOKUP(B496,inventario!$A$2:$A$1001,inventario!$E$2:$E$1001), "")</f>
        <v/>
      </c>
    </row>
    <row r="497" spans="4:5" x14ac:dyDescent="0.25">
      <c r="D497" s="4" t="str">
        <f>IF(ISNUMBER(MATCH(B497, inventario!$A$2:$A$1001)), _xlfn.XLOOKUP(B497,inventario!$A$2:$A$1001,inventario!$E$2:$E$1001), "")</f>
        <v/>
      </c>
      <c r="E497" s="4" t="str">
        <f>IF(ISNUMBER(MATCH(B497, inventario!$A$2:$A$1001)), C497*_xlfn.XLOOKUP(B497,inventario!$A$2:$A$1001,inventario!$E$2:$E$1001), "")</f>
        <v/>
      </c>
    </row>
    <row r="498" spans="4:5" x14ac:dyDescent="0.25">
      <c r="D498" s="4" t="str">
        <f>IF(ISNUMBER(MATCH(B498, inventario!$A$2:$A$1001)), _xlfn.XLOOKUP(B498,inventario!$A$2:$A$1001,inventario!$E$2:$E$1001), "")</f>
        <v/>
      </c>
      <c r="E498" s="4" t="str">
        <f>IF(ISNUMBER(MATCH(B498, inventario!$A$2:$A$1001)), C498*_xlfn.XLOOKUP(B498,inventario!$A$2:$A$1001,inventario!$E$2:$E$1001), "")</f>
        <v/>
      </c>
    </row>
    <row r="499" spans="4:5" x14ac:dyDescent="0.25">
      <c r="D499" s="4" t="str">
        <f>IF(ISNUMBER(MATCH(B499, inventario!$A$2:$A$1001)), _xlfn.XLOOKUP(B499,inventario!$A$2:$A$1001,inventario!$E$2:$E$1001), "")</f>
        <v/>
      </c>
      <c r="E499" s="4" t="str">
        <f>IF(ISNUMBER(MATCH(B499, inventario!$A$2:$A$1001)), C499*_xlfn.XLOOKUP(B499,inventario!$A$2:$A$1001,inventario!$E$2:$E$1001), "")</f>
        <v/>
      </c>
    </row>
    <row r="500" spans="4:5" x14ac:dyDescent="0.25">
      <c r="D500" s="4" t="str">
        <f>IF(ISNUMBER(MATCH(B500, inventario!$A$2:$A$1001)), _xlfn.XLOOKUP(B500,inventario!$A$2:$A$1001,inventario!$E$2:$E$1001), "")</f>
        <v/>
      </c>
      <c r="E500" s="4" t="str">
        <f>IF(ISNUMBER(MATCH(B500, inventario!$A$2:$A$1001)), C500*_xlfn.XLOOKUP(B500,inventario!$A$2:$A$1001,inventario!$E$2:$E$1001), "")</f>
        <v/>
      </c>
    </row>
    <row r="501" spans="4:5" x14ac:dyDescent="0.25">
      <c r="D501" s="4" t="str">
        <f>IF(ISNUMBER(MATCH(B501, inventario!$A$2:$A$1001)), _xlfn.XLOOKUP(B501,inventario!$A$2:$A$1001,inventario!$E$2:$E$1001), "")</f>
        <v/>
      </c>
      <c r="E501" s="4" t="str">
        <f>IF(ISNUMBER(MATCH(B501, inventario!$A$2:$A$1001)), C501*_xlfn.XLOOKUP(B501,inventario!$A$2:$A$1001,inventario!$E$2:$E$1001), "")</f>
        <v/>
      </c>
    </row>
    <row r="502" spans="4:5" x14ac:dyDescent="0.25">
      <c r="D502" s="4" t="str">
        <f>IF(ISNUMBER(MATCH(B502, inventario!$A$2:$A$1001)), _xlfn.XLOOKUP(B502,inventario!$A$2:$A$1001,inventario!$E$2:$E$1001), "")</f>
        <v/>
      </c>
      <c r="E502" s="4" t="str">
        <f>IF(ISNUMBER(MATCH(B502, inventario!$A$2:$A$1001)), C502*_xlfn.XLOOKUP(B502,inventario!$A$2:$A$1001,inventario!$E$2:$E$1001), "")</f>
        <v/>
      </c>
    </row>
    <row r="503" spans="4:5" x14ac:dyDescent="0.25">
      <c r="D503" s="4" t="str">
        <f>IF(ISNUMBER(MATCH(B503, inventario!$A$2:$A$1001)), _xlfn.XLOOKUP(B503,inventario!$A$2:$A$1001,inventario!$E$2:$E$1001), "")</f>
        <v/>
      </c>
      <c r="E503" s="4" t="str">
        <f>IF(ISNUMBER(MATCH(B503, inventario!$A$2:$A$1001)), C503*_xlfn.XLOOKUP(B503,inventario!$A$2:$A$1001,inventario!$E$2:$E$1001), "")</f>
        <v/>
      </c>
    </row>
    <row r="504" spans="4:5" x14ac:dyDescent="0.25">
      <c r="D504" s="4" t="str">
        <f>IF(ISNUMBER(MATCH(B504, inventario!$A$2:$A$1001)), _xlfn.XLOOKUP(B504,inventario!$A$2:$A$1001,inventario!$E$2:$E$1001), "")</f>
        <v/>
      </c>
      <c r="E504" s="4" t="str">
        <f>IF(ISNUMBER(MATCH(B504, inventario!$A$2:$A$1001)), C504*_xlfn.XLOOKUP(B504,inventario!$A$2:$A$1001,inventario!$E$2:$E$1001), "")</f>
        <v/>
      </c>
    </row>
    <row r="505" spans="4:5" x14ac:dyDescent="0.25">
      <c r="D505" s="4" t="str">
        <f>IF(ISNUMBER(MATCH(B505, inventario!$A$2:$A$1001)), _xlfn.XLOOKUP(B505,inventario!$A$2:$A$1001,inventario!$E$2:$E$1001), "")</f>
        <v/>
      </c>
      <c r="E505" s="4" t="str">
        <f>IF(ISNUMBER(MATCH(B505, inventario!$A$2:$A$1001)), C505*_xlfn.XLOOKUP(B505,inventario!$A$2:$A$1001,inventario!$E$2:$E$1001), "")</f>
        <v/>
      </c>
    </row>
    <row r="506" spans="4:5" x14ac:dyDescent="0.25">
      <c r="D506" s="4" t="str">
        <f>IF(ISNUMBER(MATCH(B506, inventario!$A$2:$A$1001)), _xlfn.XLOOKUP(B506,inventario!$A$2:$A$1001,inventario!$E$2:$E$1001), "")</f>
        <v/>
      </c>
      <c r="E506" s="4" t="str">
        <f>IF(ISNUMBER(MATCH(B506, inventario!$A$2:$A$1001)), C506*_xlfn.XLOOKUP(B506,inventario!$A$2:$A$1001,inventario!$E$2:$E$1001), "")</f>
        <v/>
      </c>
    </row>
    <row r="507" spans="4:5" x14ac:dyDescent="0.25">
      <c r="D507" s="4" t="str">
        <f>IF(ISNUMBER(MATCH(B507, inventario!$A$2:$A$1001)), _xlfn.XLOOKUP(B507,inventario!$A$2:$A$1001,inventario!$E$2:$E$1001), "")</f>
        <v/>
      </c>
      <c r="E507" s="4" t="str">
        <f>IF(ISNUMBER(MATCH(B507, inventario!$A$2:$A$1001)), C507*_xlfn.XLOOKUP(B507,inventario!$A$2:$A$1001,inventario!$E$2:$E$1001), "")</f>
        <v/>
      </c>
    </row>
    <row r="508" spans="4:5" x14ac:dyDescent="0.25">
      <c r="D508" s="4" t="str">
        <f>IF(ISNUMBER(MATCH(B508, inventario!$A$2:$A$1001)), _xlfn.XLOOKUP(B508,inventario!$A$2:$A$1001,inventario!$E$2:$E$1001), "")</f>
        <v/>
      </c>
      <c r="E508" s="4" t="str">
        <f>IF(ISNUMBER(MATCH(B508, inventario!$A$2:$A$1001)), C508*_xlfn.XLOOKUP(B508,inventario!$A$2:$A$1001,inventario!$E$2:$E$1001), "")</f>
        <v/>
      </c>
    </row>
    <row r="509" spans="4:5" x14ac:dyDescent="0.25">
      <c r="D509" s="4" t="str">
        <f>IF(ISNUMBER(MATCH(B509, inventario!$A$2:$A$1001)), _xlfn.XLOOKUP(B509,inventario!$A$2:$A$1001,inventario!$E$2:$E$1001), "")</f>
        <v/>
      </c>
      <c r="E509" s="4" t="str">
        <f>IF(ISNUMBER(MATCH(B509, inventario!$A$2:$A$1001)), C509*_xlfn.XLOOKUP(B509,inventario!$A$2:$A$1001,inventario!$E$2:$E$1001), "")</f>
        <v/>
      </c>
    </row>
    <row r="510" spans="4:5" x14ac:dyDescent="0.25">
      <c r="D510" s="4" t="str">
        <f>IF(ISNUMBER(MATCH(B510, inventario!$A$2:$A$1001)), _xlfn.XLOOKUP(B510,inventario!$A$2:$A$1001,inventario!$E$2:$E$1001), "")</f>
        <v/>
      </c>
      <c r="E510" s="4" t="str">
        <f>IF(ISNUMBER(MATCH(B510, inventario!$A$2:$A$1001)), C510*_xlfn.XLOOKUP(B510,inventario!$A$2:$A$1001,inventario!$E$2:$E$1001), "")</f>
        <v/>
      </c>
    </row>
    <row r="511" spans="4:5" x14ac:dyDescent="0.25">
      <c r="D511" s="4" t="str">
        <f>IF(ISNUMBER(MATCH(B511, inventario!$A$2:$A$1001)), _xlfn.XLOOKUP(B511,inventario!$A$2:$A$1001,inventario!$E$2:$E$1001), "")</f>
        <v/>
      </c>
      <c r="E511" s="4" t="str">
        <f>IF(ISNUMBER(MATCH(B511, inventario!$A$2:$A$1001)), C511*_xlfn.XLOOKUP(B511,inventario!$A$2:$A$1001,inventario!$E$2:$E$1001), "")</f>
        <v/>
      </c>
    </row>
    <row r="512" spans="4:5" x14ac:dyDescent="0.25">
      <c r="D512" s="4" t="str">
        <f>IF(ISNUMBER(MATCH(B512, inventario!$A$2:$A$1001)), _xlfn.XLOOKUP(B512,inventario!$A$2:$A$1001,inventario!$E$2:$E$1001), "")</f>
        <v/>
      </c>
      <c r="E512" s="4" t="str">
        <f>IF(ISNUMBER(MATCH(B512, inventario!$A$2:$A$1001)), C512*_xlfn.XLOOKUP(B512,inventario!$A$2:$A$1001,inventario!$E$2:$E$1001), "")</f>
        <v/>
      </c>
    </row>
    <row r="513" spans="4:5" x14ac:dyDescent="0.25">
      <c r="D513" s="4" t="str">
        <f>IF(ISNUMBER(MATCH(B513, inventario!$A$2:$A$1001)), _xlfn.XLOOKUP(B513,inventario!$A$2:$A$1001,inventario!$E$2:$E$1001), "")</f>
        <v/>
      </c>
      <c r="E513" s="4" t="str">
        <f>IF(ISNUMBER(MATCH(B513, inventario!$A$2:$A$1001)), C513*_xlfn.XLOOKUP(B513,inventario!$A$2:$A$1001,inventario!$E$2:$E$1001), "")</f>
        <v/>
      </c>
    </row>
    <row r="514" spans="4:5" x14ac:dyDescent="0.25">
      <c r="D514" s="4" t="str">
        <f>IF(ISNUMBER(MATCH(B514, inventario!$A$2:$A$1001)), _xlfn.XLOOKUP(B514,inventario!$A$2:$A$1001,inventario!$E$2:$E$1001), "")</f>
        <v/>
      </c>
      <c r="E514" s="4" t="str">
        <f>IF(ISNUMBER(MATCH(B514, inventario!$A$2:$A$1001)), C514*_xlfn.XLOOKUP(B514,inventario!$A$2:$A$1001,inventario!$E$2:$E$1001), "")</f>
        <v/>
      </c>
    </row>
    <row r="515" spans="4:5" x14ac:dyDescent="0.25">
      <c r="D515" s="4" t="str">
        <f>IF(ISNUMBER(MATCH(B515, inventario!$A$2:$A$1001)), _xlfn.XLOOKUP(B515,inventario!$A$2:$A$1001,inventario!$E$2:$E$1001), "")</f>
        <v/>
      </c>
      <c r="E515" s="4" t="str">
        <f>IF(ISNUMBER(MATCH(B515, inventario!$A$2:$A$1001)), C515*_xlfn.XLOOKUP(B515,inventario!$A$2:$A$1001,inventario!$E$2:$E$1001), "")</f>
        <v/>
      </c>
    </row>
    <row r="516" spans="4:5" x14ac:dyDescent="0.25">
      <c r="D516" s="4" t="str">
        <f>IF(ISNUMBER(MATCH(B516, inventario!$A$2:$A$1001)), _xlfn.XLOOKUP(B516,inventario!$A$2:$A$1001,inventario!$E$2:$E$1001), "")</f>
        <v/>
      </c>
      <c r="E516" s="4" t="str">
        <f>IF(ISNUMBER(MATCH(B516, inventario!$A$2:$A$1001)), C516*_xlfn.XLOOKUP(B516,inventario!$A$2:$A$1001,inventario!$E$2:$E$1001), "")</f>
        <v/>
      </c>
    </row>
    <row r="517" spans="4:5" x14ac:dyDescent="0.25">
      <c r="D517" s="4" t="str">
        <f>IF(ISNUMBER(MATCH(B517, inventario!$A$2:$A$1001)), _xlfn.XLOOKUP(B517,inventario!$A$2:$A$1001,inventario!$E$2:$E$1001), "")</f>
        <v/>
      </c>
      <c r="E517" s="4" t="str">
        <f>IF(ISNUMBER(MATCH(B517, inventario!$A$2:$A$1001)), C517*_xlfn.XLOOKUP(B517,inventario!$A$2:$A$1001,inventario!$E$2:$E$1001), "")</f>
        <v/>
      </c>
    </row>
    <row r="518" spans="4:5" x14ac:dyDescent="0.25">
      <c r="D518" s="4" t="str">
        <f>IF(ISNUMBER(MATCH(B518, inventario!$A$2:$A$1001)), _xlfn.XLOOKUP(B518,inventario!$A$2:$A$1001,inventario!$E$2:$E$1001), "")</f>
        <v/>
      </c>
      <c r="E518" s="4" t="str">
        <f>IF(ISNUMBER(MATCH(B518, inventario!$A$2:$A$1001)), C518*_xlfn.XLOOKUP(B518,inventario!$A$2:$A$1001,inventario!$E$2:$E$1001), "")</f>
        <v/>
      </c>
    </row>
    <row r="519" spans="4:5" x14ac:dyDescent="0.25">
      <c r="D519" s="4" t="str">
        <f>IF(ISNUMBER(MATCH(B519, inventario!$A$2:$A$1001)), _xlfn.XLOOKUP(B519,inventario!$A$2:$A$1001,inventario!$E$2:$E$1001), "")</f>
        <v/>
      </c>
      <c r="E519" s="4" t="str">
        <f>IF(ISNUMBER(MATCH(B519, inventario!$A$2:$A$1001)), C519*_xlfn.XLOOKUP(B519,inventario!$A$2:$A$1001,inventario!$E$2:$E$1001), "")</f>
        <v/>
      </c>
    </row>
    <row r="520" spans="4:5" x14ac:dyDescent="0.25">
      <c r="D520" s="4" t="str">
        <f>IF(ISNUMBER(MATCH(B520, inventario!$A$2:$A$1001)), _xlfn.XLOOKUP(B520,inventario!$A$2:$A$1001,inventario!$E$2:$E$1001), "")</f>
        <v/>
      </c>
      <c r="E520" s="4" t="str">
        <f>IF(ISNUMBER(MATCH(B520, inventario!$A$2:$A$1001)), C520*_xlfn.XLOOKUP(B520,inventario!$A$2:$A$1001,inventario!$E$2:$E$1001), "")</f>
        <v/>
      </c>
    </row>
    <row r="521" spans="4:5" x14ac:dyDescent="0.25">
      <c r="D521" s="4" t="str">
        <f>IF(ISNUMBER(MATCH(B521, inventario!$A$2:$A$1001)), _xlfn.XLOOKUP(B521,inventario!$A$2:$A$1001,inventario!$E$2:$E$1001), "")</f>
        <v/>
      </c>
      <c r="E521" s="4" t="str">
        <f>IF(ISNUMBER(MATCH(B521, inventario!$A$2:$A$1001)), C521*_xlfn.XLOOKUP(B521,inventario!$A$2:$A$1001,inventario!$E$2:$E$1001), "")</f>
        <v/>
      </c>
    </row>
    <row r="522" spans="4:5" x14ac:dyDescent="0.25">
      <c r="D522" s="4" t="str">
        <f>IF(ISNUMBER(MATCH(B522, inventario!$A$2:$A$1001)), _xlfn.XLOOKUP(B522,inventario!$A$2:$A$1001,inventario!$E$2:$E$1001), "")</f>
        <v/>
      </c>
      <c r="E522" s="4" t="str">
        <f>IF(ISNUMBER(MATCH(B522, inventario!$A$2:$A$1001)), C522*_xlfn.XLOOKUP(B522,inventario!$A$2:$A$1001,inventario!$E$2:$E$1001), "")</f>
        <v/>
      </c>
    </row>
    <row r="523" spans="4:5" x14ac:dyDescent="0.25">
      <c r="D523" s="4" t="str">
        <f>IF(ISNUMBER(MATCH(B523, inventario!$A$2:$A$1001)), _xlfn.XLOOKUP(B523,inventario!$A$2:$A$1001,inventario!$E$2:$E$1001), "")</f>
        <v/>
      </c>
      <c r="E523" s="4" t="str">
        <f>IF(ISNUMBER(MATCH(B523, inventario!$A$2:$A$1001)), C523*_xlfn.XLOOKUP(B523,inventario!$A$2:$A$1001,inventario!$E$2:$E$1001), "")</f>
        <v/>
      </c>
    </row>
    <row r="524" spans="4:5" x14ac:dyDescent="0.25">
      <c r="D524" s="4" t="str">
        <f>IF(ISNUMBER(MATCH(B524, inventario!$A$2:$A$1001)), _xlfn.XLOOKUP(B524,inventario!$A$2:$A$1001,inventario!$E$2:$E$1001), "")</f>
        <v/>
      </c>
      <c r="E524" s="4" t="str">
        <f>IF(ISNUMBER(MATCH(B524, inventario!$A$2:$A$1001)), C524*_xlfn.XLOOKUP(B524,inventario!$A$2:$A$1001,inventario!$E$2:$E$1001), "")</f>
        <v/>
      </c>
    </row>
    <row r="525" spans="4:5" x14ac:dyDescent="0.25">
      <c r="D525" s="4" t="str">
        <f>IF(ISNUMBER(MATCH(B525, inventario!$A$2:$A$1001)), _xlfn.XLOOKUP(B525,inventario!$A$2:$A$1001,inventario!$E$2:$E$1001), "")</f>
        <v/>
      </c>
      <c r="E525" s="4" t="str">
        <f>IF(ISNUMBER(MATCH(B525, inventario!$A$2:$A$1001)), C525*_xlfn.XLOOKUP(B525,inventario!$A$2:$A$1001,inventario!$E$2:$E$1001), "")</f>
        <v/>
      </c>
    </row>
    <row r="526" spans="4:5" x14ac:dyDescent="0.25">
      <c r="D526" s="4" t="str">
        <f>IF(ISNUMBER(MATCH(B526, inventario!$A$2:$A$1001)), _xlfn.XLOOKUP(B526,inventario!$A$2:$A$1001,inventario!$E$2:$E$1001), "")</f>
        <v/>
      </c>
      <c r="E526" s="4" t="str">
        <f>IF(ISNUMBER(MATCH(B526, inventario!$A$2:$A$1001)), C526*_xlfn.XLOOKUP(B526,inventario!$A$2:$A$1001,inventario!$E$2:$E$1001), "")</f>
        <v/>
      </c>
    </row>
    <row r="527" spans="4:5" x14ac:dyDescent="0.25">
      <c r="D527" s="4" t="str">
        <f>IF(ISNUMBER(MATCH(B527, inventario!$A$2:$A$1001)), _xlfn.XLOOKUP(B527,inventario!$A$2:$A$1001,inventario!$E$2:$E$1001), "")</f>
        <v/>
      </c>
      <c r="E527" s="4" t="str">
        <f>IF(ISNUMBER(MATCH(B527, inventario!$A$2:$A$1001)), C527*_xlfn.XLOOKUP(B527,inventario!$A$2:$A$1001,inventario!$E$2:$E$1001), "")</f>
        <v/>
      </c>
    </row>
    <row r="528" spans="4:5" x14ac:dyDescent="0.25">
      <c r="D528" s="4" t="str">
        <f>IF(ISNUMBER(MATCH(B528, inventario!$A$2:$A$1001)), _xlfn.XLOOKUP(B528,inventario!$A$2:$A$1001,inventario!$E$2:$E$1001), "")</f>
        <v/>
      </c>
      <c r="E528" s="4" t="str">
        <f>IF(ISNUMBER(MATCH(B528, inventario!$A$2:$A$1001)), C528*_xlfn.XLOOKUP(B528,inventario!$A$2:$A$1001,inventario!$E$2:$E$1001), "")</f>
        <v/>
      </c>
    </row>
    <row r="529" spans="4:5" x14ac:dyDescent="0.25">
      <c r="D529" s="4" t="str">
        <f>IF(ISNUMBER(MATCH(B529, inventario!$A$2:$A$1001)), _xlfn.XLOOKUP(B529,inventario!$A$2:$A$1001,inventario!$E$2:$E$1001), "")</f>
        <v/>
      </c>
      <c r="E529" s="4" t="str">
        <f>IF(ISNUMBER(MATCH(B529, inventario!$A$2:$A$1001)), C529*_xlfn.XLOOKUP(B529,inventario!$A$2:$A$1001,inventario!$E$2:$E$1001), "")</f>
        <v/>
      </c>
    </row>
    <row r="530" spans="4:5" x14ac:dyDescent="0.25">
      <c r="D530" s="4" t="str">
        <f>IF(ISNUMBER(MATCH(B530, inventario!$A$2:$A$1001)), _xlfn.XLOOKUP(B530,inventario!$A$2:$A$1001,inventario!$E$2:$E$1001), "")</f>
        <v/>
      </c>
      <c r="E530" s="4" t="str">
        <f>IF(ISNUMBER(MATCH(B530, inventario!$A$2:$A$1001)), C530*_xlfn.XLOOKUP(B530,inventario!$A$2:$A$1001,inventario!$E$2:$E$1001), "")</f>
        <v/>
      </c>
    </row>
    <row r="531" spans="4:5" x14ac:dyDescent="0.25">
      <c r="D531" s="4" t="str">
        <f>IF(ISNUMBER(MATCH(B531, inventario!$A$2:$A$1001)), _xlfn.XLOOKUP(B531,inventario!$A$2:$A$1001,inventario!$E$2:$E$1001), "")</f>
        <v/>
      </c>
      <c r="E531" s="4" t="str">
        <f>IF(ISNUMBER(MATCH(B531, inventario!$A$2:$A$1001)), C531*_xlfn.XLOOKUP(B531,inventario!$A$2:$A$1001,inventario!$E$2:$E$1001), "")</f>
        <v/>
      </c>
    </row>
    <row r="532" spans="4:5" x14ac:dyDescent="0.25">
      <c r="D532" s="4" t="str">
        <f>IF(ISNUMBER(MATCH(B532, inventario!$A$2:$A$1001)), _xlfn.XLOOKUP(B532,inventario!$A$2:$A$1001,inventario!$E$2:$E$1001), "")</f>
        <v/>
      </c>
      <c r="E532" s="4" t="str">
        <f>IF(ISNUMBER(MATCH(B532, inventario!$A$2:$A$1001)), C532*_xlfn.XLOOKUP(B532,inventario!$A$2:$A$1001,inventario!$E$2:$E$1001), "")</f>
        <v/>
      </c>
    </row>
    <row r="533" spans="4:5" x14ac:dyDescent="0.25">
      <c r="D533" s="4" t="str">
        <f>IF(ISNUMBER(MATCH(B533, inventario!$A$2:$A$1001)), _xlfn.XLOOKUP(B533,inventario!$A$2:$A$1001,inventario!$E$2:$E$1001), "")</f>
        <v/>
      </c>
      <c r="E533" s="4" t="str">
        <f>IF(ISNUMBER(MATCH(B533, inventario!$A$2:$A$1001)), C533*_xlfn.XLOOKUP(B533,inventario!$A$2:$A$1001,inventario!$E$2:$E$1001), "")</f>
        <v/>
      </c>
    </row>
    <row r="534" spans="4:5" x14ac:dyDescent="0.25">
      <c r="D534" s="4" t="str">
        <f>IF(ISNUMBER(MATCH(B534, inventario!$A$2:$A$1001)), _xlfn.XLOOKUP(B534,inventario!$A$2:$A$1001,inventario!$E$2:$E$1001), "")</f>
        <v/>
      </c>
      <c r="E534" s="4" t="str">
        <f>IF(ISNUMBER(MATCH(B534, inventario!$A$2:$A$1001)), C534*_xlfn.XLOOKUP(B534,inventario!$A$2:$A$1001,inventario!$E$2:$E$1001), "")</f>
        <v/>
      </c>
    </row>
    <row r="535" spans="4:5" x14ac:dyDescent="0.25">
      <c r="D535" s="4" t="str">
        <f>IF(ISNUMBER(MATCH(B535, inventario!$A$2:$A$1001)), _xlfn.XLOOKUP(B535,inventario!$A$2:$A$1001,inventario!$E$2:$E$1001), "")</f>
        <v/>
      </c>
      <c r="E535" s="4" t="str">
        <f>IF(ISNUMBER(MATCH(B535, inventario!$A$2:$A$1001)), C535*_xlfn.XLOOKUP(B535,inventario!$A$2:$A$1001,inventario!$E$2:$E$1001), "")</f>
        <v/>
      </c>
    </row>
    <row r="536" spans="4:5" x14ac:dyDescent="0.25">
      <c r="D536" s="4" t="str">
        <f>IF(ISNUMBER(MATCH(B536, inventario!$A$2:$A$1001)), _xlfn.XLOOKUP(B536,inventario!$A$2:$A$1001,inventario!$E$2:$E$1001), "")</f>
        <v/>
      </c>
      <c r="E536" s="4" t="str">
        <f>IF(ISNUMBER(MATCH(B536, inventario!$A$2:$A$1001)), C536*_xlfn.XLOOKUP(B536,inventario!$A$2:$A$1001,inventario!$E$2:$E$1001), "")</f>
        <v/>
      </c>
    </row>
    <row r="537" spans="4:5" x14ac:dyDescent="0.25">
      <c r="D537" s="4" t="str">
        <f>IF(ISNUMBER(MATCH(B537, inventario!$A$2:$A$1001)), _xlfn.XLOOKUP(B537,inventario!$A$2:$A$1001,inventario!$E$2:$E$1001), "")</f>
        <v/>
      </c>
      <c r="E537" s="4" t="str">
        <f>IF(ISNUMBER(MATCH(B537, inventario!$A$2:$A$1001)), C537*_xlfn.XLOOKUP(B537,inventario!$A$2:$A$1001,inventario!$E$2:$E$1001), "")</f>
        <v/>
      </c>
    </row>
    <row r="538" spans="4:5" x14ac:dyDescent="0.25">
      <c r="D538" s="4" t="str">
        <f>IF(ISNUMBER(MATCH(B538, inventario!$A$2:$A$1001)), _xlfn.XLOOKUP(B538,inventario!$A$2:$A$1001,inventario!$E$2:$E$1001), "")</f>
        <v/>
      </c>
      <c r="E538" s="4" t="str">
        <f>IF(ISNUMBER(MATCH(B538, inventario!$A$2:$A$1001)), C538*_xlfn.XLOOKUP(B538,inventario!$A$2:$A$1001,inventario!$E$2:$E$1001), "")</f>
        <v/>
      </c>
    </row>
    <row r="539" spans="4:5" x14ac:dyDescent="0.25">
      <c r="D539" s="4" t="str">
        <f>IF(ISNUMBER(MATCH(B539, inventario!$A$2:$A$1001)), _xlfn.XLOOKUP(B539,inventario!$A$2:$A$1001,inventario!$E$2:$E$1001), "")</f>
        <v/>
      </c>
      <c r="E539" s="4" t="str">
        <f>IF(ISNUMBER(MATCH(B539, inventario!$A$2:$A$1001)), C539*_xlfn.XLOOKUP(B539,inventario!$A$2:$A$1001,inventario!$E$2:$E$1001), "")</f>
        <v/>
      </c>
    </row>
    <row r="540" spans="4:5" x14ac:dyDescent="0.25">
      <c r="D540" s="4" t="str">
        <f>IF(ISNUMBER(MATCH(B540, inventario!$A$2:$A$1001)), _xlfn.XLOOKUP(B540,inventario!$A$2:$A$1001,inventario!$E$2:$E$1001), "")</f>
        <v/>
      </c>
      <c r="E540" s="4" t="str">
        <f>IF(ISNUMBER(MATCH(B540, inventario!$A$2:$A$1001)), C540*_xlfn.XLOOKUP(B540,inventario!$A$2:$A$1001,inventario!$E$2:$E$1001), "")</f>
        <v/>
      </c>
    </row>
    <row r="541" spans="4:5" x14ac:dyDescent="0.25">
      <c r="D541" s="4" t="str">
        <f>IF(ISNUMBER(MATCH(B541, inventario!$A$2:$A$1001)), _xlfn.XLOOKUP(B541,inventario!$A$2:$A$1001,inventario!$E$2:$E$1001), "")</f>
        <v/>
      </c>
      <c r="E541" s="4" t="str">
        <f>IF(ISNUMBER(MATCH(B541, inventario!$A$2:$A$1001)), C541*_xlfn.XLOOKUP(B541,inventario!$A$2:$A$1001,inventario!$E$2:$E$1001), "")</f>
        <v/>
      </c>
    </row>
    <row r="542" spans="4:5" x14ac:dyDescent="0.25">
      <c r="D542" s="4" t="str">
        <f>IF(ISNUMBER(MATCH(B542, inventario!$A$2:$A$1001)), _xlfn.XLOOKUP(B542,inventario!$A$2:$A$1001,inventario!$E$2:$E$1001), "")</f>
        <v/>
      </c>
      <c r="E542" s="4" t="str">
        <f>IF(ISNUMBER(MATCH(B542, inventario!$A$2:$A$1001)), C542*_xlfn.XLOOKUP(B542,inventario!$A$2:$A$1001,inventario!$E$2:$E$1001), "")</f>
        <v/>
      </c>
    </row>
    <row r="543" spans="4:5" x14ac:dyDescent="0.25">
      <c r="D543" s="4" t="str">
        <f>IF(ISNUMBER(MATCH(B543, inventario!$A$2:$A$1001)), _xlfn.XLOOKUP(B543,inventario!$A$2:$A$1001,inventario!$E$2:$E$1001), "")</f>
        <v/>
      </c>
      <c r="E543" s="4" t="str">
        <f>IF(ISNUMBER(MATCH(B543, inventario!$A$2:$A$1001)), C543*_xlfn.XLOOKUP(B543,inventario!$A$2:$A$1001,inventario!$E$2:$E$1001), "")</f>
        <v/>
      </c>
    </row>
    <row r="544" spans="4:5" x14ac:dyDescent="0.25">
      <c r="D544" s="4" t="str">
        <f>IF(ISNUMBER(MATCH(B544, inventario!$A$2:$A$1001)), _xlfn.XLOOKUP(B544,inventario!$A$2:$A$1001,inventario!$E$2:$E$1001), "")</f>
        <v/>
      </c>
      <c r="E544" s="4" t="str">
        <f>IF(ISNUMBER(MATCH(B544, inventario!$A$2:$A$1001)), C544*_xlfn.XLOOKUP(B544,inventario!$A$2:$A$1001,inventario!$E$2:$E$1001), "")</f>
        <v/>
      </c>
    </row>
    <row r="545" spans="4:5" x14ac:dyDescent="0.25">
      <c r="D545" s="4" t="str">
        <f>IF(ISNUMBER(MATCH(B545, inventario!$A$2:$A$1001)), _xlfn.XLOOKUP(B545,inventario!$A$2:$A$1001,inventario!$E$2:$E$1001), "")</f>
        <v/>
      </c>
      <c r="E545" s="4" t="str">
        <f>IF(ISNUMBER(MATCH(B545, inventario!$A$2:$A$1001)), C545*_xlfn.XLOOKUP(B545,inventario!$A$2:$A$1001,inventario!$E$2:$E$1001), "")</f>
        <v/>
      </c>
    </row>
    <row r="546" spans="4:5" x14ac:dyDescent="0.25">
      <c r="D546" s="4" t="str">
        <f>IF(ISNUMBER(MATCH(B546, inventario!$A$2:$A$1001)), _xlfn.XLOOKUP(B546,inventario!$A$2:$A$1001,inventario!$E$2:$E$1001), "")</f>
        <v/>
      </c>
      <c r="E546" s="4" t="str">
        <f>IF(ISNUMBER(MATCH(B546, inventario!$A$2:$A$1001)), C546*_xlfn.XLOOKUP(B546,inventario!$A$2:$A$1001,inventario!$E$2:$E$1001), "")</f>
        <v/>
      </c>
    </row>
    <row r="547" spans="4:5" x14ac:dyDescent="0.25">
      <c r="D547" s="4" t="str">
        <f>IF(ISNUMBER(MATCH(B547, inventario!$A$2:$A$1001)), _xlfn.XLOOKUP(B547,inventario!$A$2:$A$1001,inventario!$E$2:$E$1001), "")</f>
        <v/>
      </c>
      <c r="E547" s="4" t="str">
        <f>IF(ISNUMBER(MATCH(B547, inventario!$A$2:$A$1001)), C547*_xlfn.XLOOKUP(B547,inventario!$A$2:$A$1001,inventario!$E$2:$E$1001), "")</f>
        <v/>
      </c>
    </row>
    <row r="548" spans="4:5" x14ac:dyDescent="0.25">
      <c r="D548" s="4" t="str">
        <f>IF(ISNUMBER(MATCH(B548, inventario!$A$2:$A$1001)), _xlfn.XLOOKUP(B548,inventario!$A$2:$A$1001,inventario!$E$2:$E$1001), "")</f>
        <v/>
      </c>
      <c r="E548" s="4" t="str">
        <f>IF(ISNUMBER(MATCH(B548, inventario!$A$2:$A$1001)), C548*_xlfn.XLOOKUP(B548,inventario!$A$2:$A$1001,inventario!$E$2:$E$1001), "")</f>
        <v/>
      </c>
    </row>
    <row r="549" spans="4:5" x14ac:dyDescent="0.25">
      <c r="D549" s="4" t="str">
        <f>IF(ISNUMBER(MATCH(B549, inventario!$A$2:$A$1001)), _xlfn.XLOOKUP(B549,inventario!$A$2:$A$1001,inventario!$E$2:$E$1001), "")</f>
        <v/>
      </c>
      <c r="E549" s="4" t="str">
        <f>IF(ISNUMBER(MATCH(B549, inventario!$A$2:$A$1001)), C549*_xlfn.XLOOKUP(B549,inventario!$A$2:$A$1001,inventario!$E$2:$E$1001), "")</f>
        <v/>
      </c>
    </row>
    <row r="550" spans="4:5" x14ac:dyDescent="0.25">
      <c r="D550" s="4" t="str">
        <f>IF(ISNUMBER(MATCH(B550, inventario!$A$2:$A$1001)), _xlfn.XLOOKUP(B550,inventario!$A$2:$A$1001,inventario!$E$2:$E$1001), "")</f>
        <v/>
      </c>
      <c r="E550" s="4" t="str">
        <f>IF(ISNUMBER(MATCH(B550, inventario!$A$2:$A$1001)), C550*_xlfn.XLOOKUP(B550,inventario!$A$2:$A$1001,inventario!$E$2:$E$1001), "")</f>
        <v/>
      </c>
    </row>
    <row r="551" spans="4:5" x14ac:dyDescent="0.25">
      <c r="D551" s="4" t="str">
        <f>IF(ISNUMBER(MATCH(B551, inventario!$A$2:$A$1001)), _xlfn.XLOOKUP(B551,inventario!$A$2:$A$1001,inventario!$E$2:$E$1001), "")</f>
        <v/>
      </c>
      <c r="E551" s="4" t="str">
        <f>IF(ISNUMBER(MATCH(B551, inventario!$A$2:$A$1001)), C551*_xlfn.XLOOKUP(B551,inventario!$A$2:$A$1001,inventario!$E$2:$E$1001), "")</f>
        <v/>
      </c>
    </row>
    <row r="552" spans="4:5" x14ac:dyDescent="0.25">
      <c r="D552" s="4" t="str">
        <f>IF(ISNUMBER(MATCH(B552, inventario!$A$2:$A$1001)), _xlfn.XLOOKUP(B552,inventario!$A$2:$A$1001,inventario!$E$2:$E$1001), "")</f>
        <v/>
      </c>
      <c r="E552" s="4" t="str">
        <f>IF(ISNUMBER(MATCH(B552, inventario!$A$2:$A$1001)), C552*_xlfn.XLOOKUP(B552,inventario!$A$2:$A$1001,inventario!$E$2:$E$1001), "")</f>
        <v/>
      </c>
    </row>
    <row r="553" spans="4:5" x14ac:dyDescent="0.25">
      <c r="D553" s="4" t="str">
        <f>IF(ISNUMBER(MATCH(B553, inventario!$A$2:$A$1001)), _xlfn.XLOOKUP(B553,inventario!$A$2:$A$1001,inventario!$E$2:$E$1001), "")</f>
        <v/>
      </c>
      <c r="E553" s="4" t="str">
        <f>IF(ISNUMBER(MATCH(B553, inventario!$A$2:$A$1001)), C553*_xlfn.XLOOKUP(B553,inventario!$A$2:$A$1001,inventario!$E$2:$E$1001), "")</f>
        <v/>
      </c>
    </row>
    <row r="554" spans="4:5" x14ac:dyDescent="0.25">
      <c r="D554" s="4" t="str">
        <f>IF(ISNUMBER(MATCH(B554, inventario!$A$2:$A$1001)), _xlfn.XLOOKUP(B554,inventario!$A$2:$A$1001,inventario!$E$2:$E$1001), "")</f>
        <v/>
      </c>
      <c r="E554" s="4" t="str">
        <f>IF(ISNUMBER(MATCH(B554, inventario!$A$2:$A$1001)), C554*_xlfn.XLOOKUP(B554,inventario!$A$2:$A$1001,inventario!$E$2:$E$1001), "")</f>
        <v/>
      </c>
    </row>
    <row r="555" spans="4:5" x14ac:dyDescent="0.25">
      <c r="D555" s="4" t="str">
        <f>IF(ISNUMBER(MATCH(B555, inventario!$A$2:$A$1001)), _xlfn.XLOOKUP(B555,inventario!$A$2:$A$1001,inventario!$E$2:$E$1001), "")</f>
        <v/>
      </c>
      <c r="E555" s="4" t="str">
        <f>IF(ISNUMBER(MATCH(B555, inventario!$A$2:$A$1001)), C555*_xlfn.XLOOKUP(B555,inventario!$A$2:$A$1001,inventario!$E$2:$E$1001), "")</f>
        <v/>
      </c>
    </row>
    <row r="556" spans="4:5" x14ac:dyDescent="0.25">
      <c r="D556" s="4" t="str">
        <f>IF(ISNUMBER(MATCH(B556, inventario!$A$2:$A$1001)), _xlfn.XLOOKUP(B556,inventario!$A$2:$A$1001,inventario!$E$2:$E$1001), "")</f>
        <v/>
      </c>
      <c r="E556" s="4" t="str">
        <f>IF(ISNUMBER(MATCH(B556, inventario!$A$2:$A$1001)), C556*_xlfn.XLOOKUP(B556,inventario!$A$2:$A$1001,inventario!$E$2:$E$1001), "")</f>
        <v/>
      </c>
    </row>
    <row r="557" spans="4:5" x14ac:dyDescent="0.25">
      <c r="D557" s="4" t="str">
        <f>IF(ISNUMBER(MATCH(B557, inventario!$A$2:$A$1001)), _xlfn.XLOOKUP(B557,inventario!$A$2:$A$1001,inventario!$E$2:$E$1001), "")</f>
        <v/>
      </c>
      <c r="E557" s="4" t="str">
        <f>IF(ISNUMBER(MATCH(B557, inventario!$A$2:$A$1001)), C557*_xlfn.XLOOKUP(B557,inventario!$A$2:$A$1001,inventario!$E$2:$E$1001), "")</f>
        <v/>
      </c>
    </row>
    <row r="558" spans="4:5" x14ac:dyDescent="0.25">
      <c r="D558" s="4" t="str">
        <f>IF(ISNUMBER(MATCH(B558, inventario!$A$2:$A$1001)), _xlfn.XLOOKUP(B558,inventario!$A$2:$A$1001,inventario!$E$2:$E$1001), "")</f>
        <v/>
      </c>
      <c r="E558" s="4" t="str">
        <f>IF(ISNUMBER(MATCH(B558, inventario!$A$2:$A$1001)), C558*_xlfn.XLOOKUP(B558,inventario!$A$2:$A$1001,inventario!$E$2:$E$1001), "")</f>
        <v/>
      </c>
    </row>
    <row r="559" spans="4:5" x14ac:dyDescent="0.25">
      <c r="D559" s="4" t="str">
        <f>IF(ISNUMBER(MATCH(B559, inventario!$A$2:$A$1001)), _xlfn.XLOOKUP(B559,inventario!$A$2:$A$1001,inventario!$E$2:$E$1001), "")</f>
        <v/>
      </c>
      <c r="E559" s="4" t="str">
        <f>IF(ISNUMBER(MATCH(B559, inventario!$A$2:$A$1001)), C559*_xlfn.XLOOKUP(B559,inventario!$A$2:$A$1001,inventario!$E$2:$E$1001), "")</f>
        <v/>
      </c>
    </row>
    <row r="560" spans="4:5" x14ac:dyDescent="0.25">
      <c r="D560" s="4" t="str">
        <f>IF(ISNUMBER(MATCH(B560, inventario!$A$2:$A$1001)), _xlfn.XLOOKUP(B560,inventario!$A$2:$A$1001,inventario!$E$2:$E$1001), "")</f>
        <v/>
      </c>
      <c r="E560" s="4" t="str">
        <f>IF(ISNUMBER(MATCH(B560, inventario!$A$2:$A$1001)), C560*_xlfn.XLOOKUP(B560,inventario!$A$2:$A$1001,inventario!$E$2:$E$1001), "")</f>
        <v/>
      </c>
    </row>
    <row r="561" spans="4:5" x14ac:dyDescent="0.25">
      <c r="D561" s="4" t="str">
        <f>IF(ISNUMBER(MATCH(B561, inventario!$A$2:$A$1001)), _xlfn.XLOOKUP(B561,inventario!$A$2:$A$1001,inventario!$E$2:$E$1001), "")</f>
        <v/>
      </c>
      <c r="E561" s="4" t="str">
        <f>IF(ISNUMBER(MATCH(B561, inventario!$A$2:$A$1001)), C561*_xlfn.XLOOKUP(B561,inventario!$A$2:$A$1001,inventario!$E$2:$E$1001), "")</f>
        <v/>
      </c>
    </row>
    <row r="562" spans="4:5" x14ac:dyDescent="0.25">
      <c r="D562" s="4" t="str">
        <f>IF(ISNUMBER(MATCH(B562, inventario!$A$2:$A$1001)), _xlfn.XLOOKUP(B562,inventario!$A$2:$A$1001,inventario!$E$2:$E$1001), "")</f>
        <v/>
      </c>
      <c r="E562" s="4" t="str">
        <f>IF(ISNUMBER(MATCH(B562, inventario!$A$2:$A$1001)), C562*_xlfn.XLOOKUP(B562,inventario!$A$2:$A$1001,inventario!$E$2:$E$1001), "")</f>
        <v/>
      </c>
    </row>
    <row r="563" spans="4:5" x14ac:dyDescent="0.25">
      <c r="D563" s="4" t="str">
        <f>IF(ISNUMBER(MATCH(B563, inventario!$A$2:$A$1001)), _xlfn.XLOOKUP(B563,inventario!$A$2:$A$1001,inventario!$E$2:$E$1001), "")</f>
        <v/>
      </c>
      <c r="E563" s="4" t="str">
        <f>IF(ISNUMBER(MATCH(B563, inventario!$A$2:$A$1001)), C563*_xlfn.XLOOKUP(B563,inventario!$A$2:$A$1001,inventario!$E$2:$E$1001), "")</f>
        <v/>
      </c>
    </row>
    <row r="564" spans="4:5" x14ac:dyDescent="0.25">
      <c r="D564" s="4" t="str">
        <f>IF(ISNUMBER(MATCH(B564, inventario!$A$2:$A$1001)), _xlfn.XLOOKUP(B564,inventario!$A$2:$A$1001,inventario!$E$2:$E$1001), "")</f>
        <v/>
      </c>
      <c r="E564" s="4" t="str">
        <f>IF(ISNUMBER(MATCH(B564, inventario!$A$2:$A$1001)), C564*_xlfn.XLOOKUP(B564,inventario!$A$2:$A$1001,inventario!$E$2:$E$1001), "")</f>
        <v/>
      </c>
    </row>
    <row r="565" spans="4:5" x14ac:dyDescent="0.25">
      <c r="D565" s="4" t="str">
        <f>IF(ISNUMBER(MATCH(B565, inventario!$A$2:$A$1001)), _xlfn.XLOOKUP(B565,inventario!$A$2:$A$1001,inventario!$E$2:$E$1001), "")</f>
        <v/>
      </c>
      <c r="E565" s="4" t="str">
        <f>IF(ISNUMBER(MATCH(B565, inventario!$A$2:$A$1001)), C565*_xlfn.XLOOKUP(B565,inventario!$A$2:$A$1001,inventario!$E$2:$E$1001), "")</f>
        <v/>
      </c>
    </row>
    <row r="566" spans="4:5" x14ac:dyDescent="0.25">
      <c r="D566" s="4" t="str">
        <f>IF(ISNUMBER(MATCH(B566, inventario!$A$2:$A$1001)), _xlfn.XLOOKUP(B566,inventario!$A$2:$A$1001,inventario!$E$2:$E$1001), "")</f>
        <v/>
      </c>
      <c r="E566" s="4" t="str">
        <f>IF(ISNUMBER(MATCH(B566, inventario!$A$2:$A$1001)), C566*_xlfn.XLOOKUP(B566,inventario!$A$2:$A$1001,inventario!$E$2:$E$1001), "")</f>
        <v/>
      </c>
    </row>
    <row r="567" spans="4:5" x14ac:dyDescent="0.25">
      <c r="D567" s="4" t="str">
        <f>IF(ISNUMBER(MATCH(B567, inventario!$A$2:$A$1001)), _xlfn.XLOOKUP(B567,inventario!$A$2:$A$1001,inventario!$E$2:$E$1001), "")</f>
        <v/>
      </c>
      <c r="E567" s="4" t="str">
        <f>IF(ISNUMBER(MATCH(B567, inventario!$A$2:$A$1001)), C567*_xlfn.XLOOKUP(B567,inventario!$A$2:$A$1001,inventario!$E$2:$E$1001), "")</f>
        <v/>
      </c>
    </row>
    <row r="568" spans="4:5" x14ac:dyDescent="0.25">
      <c r="D568" s="4" t="str">
        <f>IF(ISNUMBER(MATCH(B568, inventario!$A$2:$A$1001)), _xlfn.XLOOKUP(B568,inventario!$A$2:$A$1001,inventario!$E$2:$E$1001), "")</f>
        <v/>
      </c>
      <c r="E568" s="4" t="str">
        <f>IF(ISNUMBER(MATCH(B568, inventario!$A$2:$A$1001)), C568*_xlfn.XLOOKUP(B568,inventario!$A$2:$A$1001,inventario!$E$2:$E$1001), "")</f>
        <v/>
      </c>
    </row>
    <row r="569" spans="4:5" x14ac:dyDescent="0.25">
      <c r="D569" s="4" t="str">
        <f>IF(ISNUMBER(MATCH(B569, inventario!$A$2:$A$1001)), _xlfn.XLOOKUP(B569,inventario!$A$2:$A$1001,inventario!$E$2:$E$1001), "")</f>
        <v/>
      </c>
      <c r="E569" s="4" t="str">
        <f>IF(ISNUMBER(MATCH(B569, inventario!$A$2:$A$1001)), C569*_xlfn.XLOOKUP(B569,inventario!$A$2:$A$1001,inventario!$E$2:$E$1001), "")</f>
        <v/>
      </c>
    </row>
    <row r="570" spans="4:5" x14ac:dyDescent="0.25">
      <c r="D570" s="4" t="str">
        <f>IF(ISNUMBER(MATCH(B570, inventario!$A$2:$A$1001)), _xlfn.XLOOKUP(B570,inventario!$A$2:$A$1001,inventario!$E$2:$E$1001), "")</f>
        <v/>
      </c>
      <c r="E570" s="4" t="str">
        <f>IF(ISNUMBER(MATCH(B570, inventario!$A$2:$A$1001)), C570*_xlfn.XLOOKUP(B570,inventario!$A$2:$A$1001,inventario!$E$2:$E$1001), "")</f>
        <v/>
      </c>
    </row>
    <row r="571" spans="4:5" x14ac:dyDescent="0.25">
      <c r="D571" s="4" t="str">
        <f>IF(ISNUMBER(MATCH(B571, inventario!$A$2:$A$1001)), _xlfn.XLOOKUP(B571,inventario!$A$2:$A$1001,inventario!$E$2:$E$1001), "")</f>
        <v/>
      </c>
      <c r="E571" s="4" t="str">
        <f>IF(ISNUMBER(MATCH(B571, inventario!$A$2:$A$1001)), C571*_xlfn.XLOOKUP(B571,inventario!$A$2:$A$1001,inventario!$E$2:$E$1001), "")</f>
        <v/>
      </c>
    </row>
    <row r="572" spans="4:5" x14ac:dyDescent="0.25">
      <c r="D572" s="4" t="str">
        <f>IF(ISNUMBER(MATCH(B572, inventario!$A$2:$A$1001)), _xlfn.XLOOKUP(B572,inventario!$A$2:$A$1001,inventario!$E$2:$E$1001), "")</f>
        <v/>
      </c>
      <c r="E572" s="4" t="str">
        <f>IF(ISNUMBER(MATCH(B572, inventario!$A$2:$A$1001)), C572*_xlfn.XLOOKUP(B572,inventario!$A$2:$A$1001,inventario!$E$2:$E$1001), "")</f>
        <v/>
      </c>
    </row>
    <row r="573" spans="4:5" x14ac:dyDescent="0.25">
      <c r="D573" s="4" t="str">
        <f>IF(ISNUMBER(MATCH(B573, inventario!$A$2:$A$1001)), _xlfn.XLOOKUP(B573,inventario!$A$2:$A$1001,inventario!$E$2:$E$1001), "")</f>
        <v/>
      </c>
      <c r="E573" s="4" t="str">
        <f>IF(ISNUMBER(MATCH(B573, inventario!$A$2:$A$1001)), C573*_xlfn.XLOOKUP(B573,inventario!$A$2:$A$1001,inventario!$E$2:$E$1001), "")</f>
        <v/>
      </c>
    </row>
    <row r="574" spans="4:5" x14ac:dyDescent="0.25">
      <c r="D574" s="4" t="str">
        <f>IF(ISNUMBER(MATCH(B574, inventario!$A$2:$A$1001)), _xlfn.XLOOKUP(B574,inventario!$A$2:$A$1001,inventario!$E$2:$E$1001), "")</f>
        <v/>
      </c>
      <c r="E574" s="4" t="str">
        <f>IF(ISNUMBER(MATCH(B574, inventario!$A$2:$A$1001)), C574*_xlfn.XLOOKUP(B574,inventario!$A$2:$A$1001,inventario!$E$2:$E$1001), "")</f>
        <v/>
      </c>
    </row>
    <row r="575" spans="4:5" x14ac:dyDescent="0.25">
      <c r="D575" s="4" t="str">
        <f>IF(ISNUMBER(MATCH(B575, inventario!$A$2:$A$1001)), _xlfn.XLOOKUP(B575,inventario!$A$2:$A$1001,inventario!$E$2:$E$1001), "")</f>
        <v/>
      </c>
      <c r="E575" s="4" t="str">
        <f>IF(ISNUMBER(MATCH(B575, inventario!$A$2:$A$1001)), C575*_xlfn.XLOOKUP(B575,inventario!$A$2:$A$1001,inventario!$E$2:$E$1001), "")</f>
        <v/>
      </c>
    </row>
    <row r="576" spans="4:5" x14ac:dyDescent="0.25">
      <c r="D576" s="4" t="str">
        <f>IF(ISNUMBER(MATCH(B576, inventario!$A$2:$A$1001)), _xlfn.XLOOKUP(B576,inventario!$A$2:$A$1001,inventario!$E$2:$E$1001), "")</f>
        <v/>
      </c>
      <c r="E576" s="4" t="str">
        <f>IF(ISNUMBER(MATCH(B576, inventario!$A$2:$A$1001)), C576*_xlfn.XLOOKUP(B576,inventario!$A$2:$A$1001,inventario!$E$2:$E$1001), "")</f>
        <v/>
      </c>
    </row>
    <row r="577" spans="4:5" x14ac:dyDescent="0.25">
      <c r="D577" s="4" t="str">
        <f>IF(ISNUMBER(MATCH(B577, inventario!$A$2:$A$1001)), _xlfn.XLOOKUP(B577,inventario!$A$2:$A$1001,inventario!$E$2:$E$1001), "")</f>
        <v/>
      </c>
      <c r="E577" s="4" t="str">
        <f>IF(ISNUMBER(MATCH(B577, inventario!$A$2:$A$1001)), C577*_xlfn.XLOOKUP(B577,inventario!$A$2:$A$1001,inventario!$E$2:$E$1001), "")</f>
        <v/>
      </c>
    </row>
    <row r="578" spans="4:5" x14ac:dyDescent="0.25">
      <c r="D578" s="4" t="str">
        <f>IF(ISNUMBER(MATCH(B578, inventario!$A$2:$A$1001)), _xlfn.XLOOKUP(B578,inventario!$A$2:$A$1001,inventario!$E$2:$E$1001), "")</f>
        <v/>
      </c>
      <c r="E578" s="4" t="str">
        <f>IF(ISNUMBER(MATCH(B578, inventario!$A$2:$A$1001)), C578*_xlfn.XLOOKUP(B578,inventario!$A$2:$A$1001,inventario!$E$2:$E$1001), "")</f>
        <v/>
      </c>
    </row>
    <row r="579" spans="4:5" x14ac:dyDescent="0.25">
      <c r="D579" s="4" t="str">
        <f>IF(ISNUMBER(MATCH(B579, inventario!$A$2:$A$1001)), _xlfn.XLOOKUP(B579,inventario!$A$2:$A$1001,inventario!$E$2:$E$1001), "")</f>
        <v/>
      </c>
      <c r="E579" s="4" t="str">
        <f>IF(ISNUMBER(MATCH(B579, inventario!$A$2:$A$1001)), C579*_xlfn.XLOOKUP(B579,inventario!$A$2:$A$1001,inventario!$E$2:$E$1001), "")</f>
        <v/>
      </c>
    </row>
    <row r="580" spans="4:5" x14ac:dyDescent="0.25">
      <c r="D580" s="4" t="str">
        <f>IF(ISNUMBER(MATCH(B580, inventario!$A$2:$A$1001)), _xlfn.XLOOKUP(B580,inventario!$A$2:$A$1001,inventario!$E$2:$E$1001), "")</f>
        <v/>
      </c>
      <c r="E580" s="4" t="str">
        <f>IF(ISNUMBER(MATCH(B580, inventario!$A$2:$A$1001)), C580*_xlfn.XLOOKUP(B580,inventario!$A$2:$A$1001,inventario!$E$2:$E$1001), "")</f>
        <v/>
      </c>
    </row>
    <row r="581" spans="4:5" x14ac:dyDescent="0.25">
      <c r="D581" s="4" t="str">
        <f>IF(ISNUMBER(MATCH(B581, inventario!$A$2:$A$1001)), _xlfn.XLOOKUP(B581,inventario!$A$2:$A$1001,inventario!$E$2:$E$1001), "")</f>
        <v/>
      </c>
      <c r="E581" s="4" t="str">
        <f>IF(ISNUMBER(MATCH(B581, inventario!$A$2:$A$1001)), C581*_xlfn.XLOOKUP(B581,inventario!$A$2:$A$1001,inventario!$E$2:$E$1001), "")</f>
        <v/>
      </c>
    </row>
    <row r="582" spans="4:5" x14ac:dyDescent="0.25">
      <c r="D582" s="4" t="str">
        <f>IF(ISNUMBER(MATCH(B582, inventario!$A$2:$A$1001)), _xlfn.XLOOKUP(B582,inventario!$A$2:$A$1001,inventario!$E$2:$E$1001), "")</f>
        <v/>
      </c>
      <c r="E582" s="4" t="str">
        <f>IF(ISNUMBER(MATCH(B582, inventario!$A$2:$A$1001)), C582*_xlfn.XLOOKUP(B582,inventario!$A$2:$A$1001,inventario!$E$2:$E$1001), "")</f>
        <v/>
      </c>
    </row>
    <row r="583" spans="4:5" x14ac:dyDescent="0.25">
      <c r="D583" s="4" t="str">
        <f>IF(ISNUMBER(MATCH(B583, inventario!$A$2:$A$1001)), _xlfn.XLOOKUP(B583,inventario!$A$2:$A$1001,inventario!$E$2:$E$1001), "")</f>
        <v/>
      </c>
      <c r="E583" s="4" t="str">
        <f>IF(ISNUMBER(MATCH(B583, inventario!$A$2:$A$1001)), C583*_xlfn.XLOOKUP(B583,inventario!$A$2:$A$1001,inventario!$E$2:$E$1001), "")</f>
        <v/>
      </c>
    </row>
    <row r="584" spans="4:5" x14ac:dyDescent="0.25">
      <c r="D584" s="4" t="str">
        <f>IF(ISNUMBER(MATCH(B584, inventario!$A$2:$A$1001)), _xlfn.XLOOKUP(B584,inventario!$A$2:$A$1001,inventario!$E$2:$E$1001), "")</f>
        <v/>
      </c>
      <c r="E584" s="4" t="str">
        <f>IF(ISNUMBER(MATCH(B584, inventario!$A$2:$A$1001)), C584*_xlfn.XLOOKUP(B584,inventario!$A$2:$A$1001,inventario!$E$2:$E$1001), "")</f>
        <v/>
      </c>
    </row>
    <row r="585" spans="4:5" x14ac:dyDescent="0.25">
      <c r="D585" s="4" t="str">
        <f>IF(ISNUMBER(MATCH(B585, inventario!$A$2:$A$1001)), _xlfn.XLOOKUP(B585,inventario!$A$2:$A$1001,inventario!$E$2:$E$1001), "")</f>
        <v/>
      </c>
      <c r="E585" s="4" t="str">
        <f>IF(ISNUMBER(MATCH(B585, inventario!$A$2:$A$1001)), C585*_xlfn.XLOOKUP(B585,inventario!$A$2:$A$1001,inventario!$E$2:$E$1001), "")</f>
        <v/>
      </c>
    </row>
    <row r="586" spans="4:5" x14ac:dyDescent="0.25">
      <c r="D586" s="4" t="str">
        <f>IF(ISNUMBER(MATCH(B586, inventario!$A$2:$A$1001)), _xlfn.XLOOKUP(B586,inventario!$A$2:$A$1001,inventario!$E$2:$E$1001), "")</f>
        <v/>
      </c>
      <c r="E586" s="4" t="str">
        <f>IF(ISNUMBER(MATCH(B586, inventario!$A$2:$A$1001)), C586*_xlfn.XLOOKUP(B586,inventario!$A$2:$A$1001,inventario!$E$2:$E$1001), "")</f>
        <v/>
      </c>
    </row>
    <row r="587" spans="4:5" x14ac:dyDescent="0.25">
      <c r="D587" s="4" t="str">
        <f>IF(ISNUMBER(MATCH(B587, inventario!$A$2:$A$1001)), _xlfn.XLOOKUP(B587,inventario!$A$2:$A$1001,inventario!$E$2:$E$1001), "")</f>
        <v/>
      </c>
      <c r="E587" s="4" t="str">
        <f>IF(ISNUMBER(MATCH(B587, inventario!$A$2:$A$1001)), C587*_xlfn.XLOOKUP(B587,inventario!$A$2:$A$1001,inventario!$E$2:$E$1001), "")</f>
        <v/>
      </c>
    </row>
    <row r="588" spans="4:5" x14ac:dyDescent="0.25">
      <c r="D588" s="4" t="str">
        <f>IF(ISNUMBER(MATCH(B588, inventario!$A$2:$A$1001)), _xlfn.XLOOKUP(B588,inventario!$A$2:$A$1001,inventario!$E$2:$E$1001), "")</f>
        <v/>
      </c>
      <c r="E588" s="4" t="str">
        <f>IF(ISNUMBER(MATCH(B588, inventario!$A$2:$A$1001)), C588*_xlfn.XLOOKUP(B588,inventario!$A$2:$A$1001,inventario!$E$2:$E$1001), "")</f>
        <v/>
      </c>
    </row>
    <row r="589" spans="4:5" x14ac:dyDescent="0.25">
      <c r="D589" s="4" t="str">
        <f>IF(ISNUMBER(MATCH(B589, inventario!$A$2:$A$1001)), _xlfn.XLOOKUP(B589,inventario!$A$2:$A$1001,inventario!$E$2:$E$1001), "")</f>
        <v/>
      </c>
      <c r="E589" s="4" t="str">
        <f>IF(ISNUMBER(MATCH(B589, inventario!$A$2:$A$1001)), C589*_xlfn.XLOOKUP(B589,inventario!$A$2:$A$1001,inventario!$E$2:$E$1001), "")</f>
        <v/>
      </c>
    </row>
    <row r="590" spans="4:5" x14ac:dyDescent="0.25">
      <c r="D590" s="4" t="str">
        <f>IF(ISNUMBER(MATCH(B590, inventario!$A$2:$A$1001)), _xlfn.XLOOKUP(B590,inventario!$A$2:$A$1001,inventario!$E$2:$E$1001), "")</f>
        <v/>
      </c>
      <c r="E590" s="4" t="str">
        <f>IF(ISNUMBER(MATCH(B590, inventario!$A$2:$A$1001)), C590*_xlfn.XLOOKUP(B590,inventario!$A$2:$A$1001,inventario!$E$2:$E$1001), "")</f>
        <v/>
      </c>
    </row>
    <row r="591" spans="4:5" x14ac:dyDescent="0.25">
      <c r="D591" s="4" t="str">
        <f>IF(ISNUMBER(MATCH(B591, inventario!$A$2:$A$1001)), _xlfn.XLOOKUP(B591,inventario!$A$2:$A$1001,inventario!$E$2:$E$1001), "")</f>
        <v/>
      </c>
      <c r="E591" s="4" t="str">
        <f>IF(ISNUMBER(MATCH(B591, inventario!$A$2:$A$1001)), C591*_xlfn.XLOOKUP(B591,inventario!$A$2:$A$1001,inventario!$E$2:$E$1001), "")</f>
        <v/>
      </c>
    </row>
    <row r="592" spans="4:5" x14ac:dyDescent="0.25">
      <c r="D592" s="4" t="str">
        <f>IF(ISNUMBER(MATCH(B592, inventario!$A$2:$A$1001)), _xlfn.XLOOKUP(B592,inventario!$A$2:$A$1001,inventario!$E$2:$E$1001), "")</f>
        <v/>
      </c>
      <c r="E592" s="4" t="str">
        <f>IF(ISNUMBER(MATCH(B592, inventario!$A$2:$A$1001)), C592*_xlfn.XLOOKUP(B592,inventario!$A$2:$A$1001,inventario!$E$2:$E$1001), "")</f>
        <v/>
      </c>
    </row>
    <row r="593" spans="4:5" x14ac:dyDescent="0.25">
      <c r="D593" s="4" t="str">
        <f>IF(ISNUMBER(MATCH(B593, inventario!$A$2:$A$1001)), _xlfn.XLOOKUP(B593,inventario!$A$2:$A$1001,inventario!$E$2:$E$1001), "")</f>
        <v/>
      </c>
      <c r="E593" s="4" t="str">
        <f>IF(ISNUMBER(MATCH(B593, inventario!$A$2:$A$1001)), C593*_xlfn.XLOOKUP(B593,inventario!$A$2:$A$1001,inventario!$E$2:$E$1001), "")</f>
        <v/>
      </c>
    </row>
    <row r="594" spans="4:5" x14ac:dyDescent="0.25">
      <c r="D594" s="4" t="str">
        <f>IF(ISNUMBER(MATCH(B594, inventario!$A$2:$A$1001)), _xlfn.XLOOKUP(B594,inventario!$A$2:$A$1001,inventario!$E$2:$E$1001), "")</f>
        <v/>
      </c>
      <c r="E594" s="4" t="str">
        <f>IF(ISNUMBER(MATCH(B594, inventario!$A$2:$A$1001)), C594*_xlfn.XLOOKUP(B594,inventario!$A$2:$A$1001,inventario!$E$2:$E$1001), "")</f>
        <v/>
      </c>
    </row>
    <row r="595" spans="4:5" x14ac:dyDescent="0.25">
      <c r="D595" s="4" t="str">
        <f>IF(ISNUMBER(MATCH(B595, inventario!$A$2:$A$1001)), _xlfn.XLOOKUP(B595,inventario!$A$2:$A$1001,inventario!$E$2:$E$1001), "")</f>
        <v/>
      </c>
      <c r="E595" s="4" t="str">
        <f>IF(ISNUMBER(MATCH(B595, inventario!$A$2:$A$1001)), C595*_xlfn.XLOOKUP(B595,inventario!$A$2:$A$1001,inventario!$E$2:$E$1001), "")</f>
        <v/>
      </c>
    </row>
    <row r="596" spans="4:5" x14ac:dyDescent="0.25">
      <c r="D596" s="4" t="str">
        <f>IF(ISNUMBER(MATCH(B596, inventario!$A$2:$A$1001)), _xlfn.XLOOKUP(B596,inventario!$A$2:$A$1001,inventario!$E$2:$E$1001), "")</f>
        <v/>
      </c>
      <c r="E596" s="4" t="str">
        <f>IF(ISNUMBER(MATCH(B596, inventario!$A$2:$A$1001)), C596*_xlfn.XLOOKUP(B596,inventario!$A$2:$A$1001,inventario!$E$2:$E$1001), "")</f>
        <v/>
      </c>
    </row>
    <row r="597" spans="4:5" x14ac:dyDescent="0.25">
      <c r="D597" s="4" t="str">
        <f>IF(ISNUMBER(MATCH(B597, inventario!$A$2:$A$1001)), _xlfn.XLOOKUP(B597,inventario!$A$2:$A$1001,inventario!$E$2:$E$1001), "")</f>
        <v/>
      </c>
      <c r="E597" s="4" t="str">
        <f>IF(ISNUMBER(MATCH(B597, inventario!$A$2:$A$1001)), C597*_xlfn.XLOOKUP(B597,inventario!$A$2:$A$1001,inventario!$E$2:$E$1001), "")</f>
        <v/>
      </c>
    </row>
    <row r="598" spans="4:5" x14ac:dyDescent="0.25">
      <c r="D598" s="4" t="str">
        <f>IF(ISNUMBER(MATCH(B598, inventario!$A$2:$A$1001)), _xlfn.XLOOKUP(B598,inventario!$A$2:$A$1001,inventario!$E$2:$E$1001), "")</f>
        <v/>
      </c>
      <c r="E598" s="4" t="str">
        <f>IF(ISNUMBER(MATCH(B598, inventario!$A$2:$A$1001)), C598*_xlfn.XLOOKUP(B598,inventario!$A$2:$A$1001,inventario!$E$2:$E$1001), "")</f>
        <v/>
      </c>
    </row>
    <row r="599" spans="4:5" x14ac:dyDescent="0.25">
      <c r="D599" s="4" t="str">
        <f>IF(ISNUMBER(MATCH(B599, inventario!$A$2:$A$1001)), _xlfn.XLOOKUP(B599,inventario!$A$2:$A$1001,inventario!$E$2:$E$1001), "")</f>
        <v/>
      </c>
      <c r="E599" s="4" t="str">
        <f>IF(ISNUMBER(MATCH(B599, inventario!$A$2:$A$1001)), C599*_xlfn.XLOOKUP(B599,inventario!$A$2:$A$1001,inventario!$E$2:$E$1001), "")</f>
        <v/>
      </c>
    </row>
    <row r="600" spans="4:5" x14ac:dyDescent="0.25">
      <c r="D600" s="4" t="str">
        <f>IF(ISNUMBER(MATCH(B600, inventario!$A$2:$A$1001)), _xlfn.XLOOKUP(B600,inventario!$A$2:$A$1001,inventario!$E$2:$E$1001), "")</f>
        <v/>
      </c>
      <c r="E600" s="4" t="str">
        <f>IF(ISNUMBER(MATCH(B600, inventario!$A$2:$A$1001)), C600*_xlfn.XLOOKUP(B600,inventario!$A$2:$A$1001,inventario!$E$2:$E$1001), "")</f>
        <v/>
      </c>
    </row>
    <row r="601" spans="4:5" x14ac:dyDescent="0.25">
      <c r="D601" s="4" t="str">
        <f>IF(ISNUMBER(MATCH(B601, inventario!$A$2:$A$1001)), _xlfn.XLOOKUP(B601,inventario!$A$2:$A$1001,inventario!$E$2:$E$1001), "")</f>
        <v/>
      </c>
      <c r="E601" s="4" t="str">
        <f>IF(ISNUMBER(MATCH(B601, inventario!$A$2:$A$1001)), C601*_xlfn.XLOOKUP(B601,inventario!$A$2:$A$1001,inventario!$E$2:$E$1001), "")</f>
        <v/>
      </c>
    </row>
    <row r="602" spans="4:5" x14ac:dyDescent="0.25">
      <c r="D602" s="4" t="str">
        <f>IF(ISNUMBER(MATCH(B602, inventario!$A$2:$A$1001)), _xlfn.XLOOKUP(B602,inventario!$A$2:$A$1001,inventario!$E$2:$E$1001), "")</f>
        <v/>
      </c>
      <c r="E602" s="4" t="str">
        <f>IF(ISNUMBER(MATCH(B602, inventario!$A$2:$A$1001)), C602*_xlfn.XLOOKUP(B602,inventario!$A$2:$A$1001,inventario!$E$2:$E$1001), "")</f>
        <v/>
      </c>
    </row>
    <row r="603" spans="4:5" x14ac:dyDescent="0.25">
      <c r="D603" s="4" t="str">
        <f>IF(ISNUMBER(MATCH(B603, inventario!$A$2:$A$1001)), _xlfn.XLOOKUP(B603,inventario!$A$2:$A$1001,inventario!$E$2:$E$1001), "")</f>
        <v/>
      </c>
      <c r="E603" s="4" t="str">
        <f>IF(ISNUMBER(MATCH(B603, inventario!$A$2:$A$1001)), C603*_xlfn.XLOOKUP(B603,inventario!$A$2:$A$1001,inventario!$E$2:$E$1001), "")</f>
        <v/>
      </c>
    </row>
    <row r="604" spans="4:5" x14ac:dyDescent="0.25">
      <c r="D604" s="4" t="str">
        <f>IF(ISNUMBER(MATCH(B604, inventario!$A$2:$A$1001)), _xlfn.XLOOKUP(B604,inventario!$A$2:$A$1001,inventario!$E$2:$E$1001), "")</f>
        <v/>
      </c>
      <c r="E604" s="4" t="str">
        <f>IF(ISNUMBER(MATCH(B604, inventario!$A$2:$A$1001)), C604*_xlfn.XLOOKUP(B604,inventario!$A$2:$A$1001,inventario!$E$2:$E$1001), "")</f>
        <v/>
      </c>
    </row>
    <row r="605" spans="4:5" x14ac:dyDescent="0.25">
      <c r="D605" s="4" t="str">
        <f>IF(ISNUMBER(MATCH(B605, inventario!$A$2:$A$1001)), _xlfn.XLOOKUP(B605,inventario!$A$2:$A$1001,inventario!$E$2:$E$1001), "")</f>
        <v/>
      </c>
      <c r="E605" s="4" t="str">
        <f>IF(ISNUMBER(MATCH(B605, inventario!$A$2:$A$1001)), C605*_xlfn.XLOOKUP(B605,inventario!$A$2:$A$1001,inventario!$E$2:$E$1001), "")</f>
        <v/>
      </c>
    </row>
    <row r="606" spans="4:5" x14ac:dyDescent="0.25">
      <c r="D606" s="4" t="str">
        <f>IF(ISNUMBER(MATCH(B606, inventario!$A$2:$A$1001)), _xlfn.XLOOKUP(B606,inventario!$A$2:$A$1001,inventario!$E$2:$E$1001), "")</f>
        <v/>
      </c>
      <c r="E606" s="4" t="str">
        <f>IF(ISNUMBER(MATCH(B606, inventario!$A$2:$A$1001)), C606*_xlfn.XLOOKUP(B606,inventario!$A$2:$A$1001,inventario!$E$2:$E$1001), "")</f>
        <v/>
      </c>
    </row>
    <row r="607" spans="4:5" x14ac:dyDescent="0.25">
      <c r="D607" s="4" t="str">
        <f>IF(ISNUMBER(MATCH(B607, inventario!$A$2:$A$1001)), _xlfn.XLOOKUP(B607,inventario!$A$2:$A$1001,inventario!$E$2:$E$1001), "")</f>
        <v/>
      </c>
      <c r="E607" s="4" t="str">
        <f>IF(ISNUMBER(MATCH(B607, inventario!$A$2:$A$1001)), C607*_xlfn.XLOOKUP(B607,inventario!$A$2:$A$1001,inventario!$E$2:$E$1001), "")</f>
        <v/>
      </c>
    </row>
    <row r="608" spans="4:5" x14ac:dyDescent="0.25">
      <c r="D608" s="4" t="str">
        <f>IF(ISNUMBER(MATCH(B608, inventario!$A$2:$A$1001)), _xlfn.XLOOKUP(B608,inventario!$A$2:$A$1001,inventario!$E$2:$E$1001), "")</f>
        <v/>
      </c>
      <c r="E608" s="4" t="str">
        <f>IF(ISNUMBER(MATCH(B608, inventario!$A$2:$A$1001)), C608*_xlfn.XLOOKUP(B608,inventario!$A$2:$A$1001,inventario!$E$2:$E$1001), "")</f>
        <v/>
      </c>
    </row>
    <row r="609" spans="4:5" x14ac:dyDescent="0.25">
      <c r="D609" s="4" t="str">
        <f>IF(ISNUMBER(MATCH(B609, inventario!$A$2:$A$1001)), _xlfn.XLOOKUP(B609,inventario!$A$2:$A$1001,inventario!$E$2:$E$1001), "")</f>
        <v/>
      </c>
      <c r="E609" s="4" t="str">
        <f>IF(ISNUMBER(MATCH(B609, inventario!$A$2:$A$1001)), C609*_xlfn.XLOOKUP(B609,inventario!$A$2:$A$1001,inventario!$E$2:$E$1001), "")</f>
        <v/>
      </c>
    </row>
    <row r="610" spans="4:5" x14ac:dyDescent="0.25">
      <c r="D610" s="4" t="str">
        <f>IF(ISNUMBER(MATCH(B610, inventario!$A$2:$A$1001)), _xlfn.XLOOKUP(B610,inventario!$A$2:$A$1001,inventario!$E$2:$E$1001), "")</f>
        <v/>
      </c>
      <c r="E610" s="4" t="str">
        <f>IF(ISNUMBER(MATCH(B610, inventario!$A$2:$A$1001)), C610*_xlfn.XLOOKUP(B610,inventario!$A$2:$A$1001,inventario!$E$2:$E$1001), "")</f>
        <v/>
      </c>
    </row>
    <row r="611" spans="4:5" x14ac:dyDescent="0.25">
      <c r="D611" s="4" t="str">
        <f>IF(ISNUMBER(MATCH(B611, inventario!$A$2:$A$1001)), _xlfn.XLOOKUP(B611,inventario!$A$2:$A$1001,inventario!$E$2:$E$1001), "")</f>
        <v/>
      </c>
      <c r="E611" s="4" t="str">
        <f>IF(ISNUMBER(MATCH(B611, inventario!$A$2:$A$1001)), C611*_xlfn.XLOOKUP(B611,inventario!$A$2:$A$1001,inventario!$E$2:$E$1001), "")</f>
        <v/>
      </c>
    </row>
    <row r="612" spans="4:5" x14ac:dyDescent="0.25">
      <c r="D612" s="4" t="str">
        <f>IF(ISNUMBER(MATCH(B612, inventario!$A$2:$A$1001)), _xlfn.XLOOKUP(B612,inventario!$A$2:$A$1001,inventario!$E$2:$E$1001), "")</f>
        <v/>
      </c>
      <c r="E612" s="4" t="str">
        <f>IF(ISNUMBER(MATCH(B612, inventario!$A$2:$A$1001)), C612*_xlfn.XLOOKUP(B612,inventario!$A$2:$A$1001,inventario!$E$2:$E$1001), "")</f>
        <v/>
      </c>
    </row>
    <row r="613" spans="4:5" x14ac:dyDescent="0.25">
      <c r="D613" s="4" t="str">
        <f>IF(ISNUMBER(MATCH(B613, inventario!$A$2:$A$1001)), _xlfn.XLOOKUP(B613,inventario!$A$2:$A$1001,inventario!$E$2:$E$1001), "")</f>
        <v/>
      </c>
      <c r="E613" s="4" t="str">
        <f>IF(ISNUMBER(MATCH(B613, inventario!$A$2:$A$1001)), C613*_xlfn.XLOOKUP(B613,inventario!$A$2:$A$1001,inventario!$E$2:$E$1001), "")</f>
        <v/>
      </c>
    </row>
    <row r="614" spans="4:5" x14ac:dyDescent="0.25">
      <c r="D614" s="4" t="str">
        <f>IF(ISNUMBER(MATCH(B614, inventario!$A$2:$A$1001)), _xlfn.XLOOKUP(B614,inventario!$A$2:$A$1001,inventario!$E$2:$E$1001), "")</f>
        <v/>
      </c>
      <c r="E614" s="4" t="str">
        <f>IF(ISNUMBER(MATCH(B614, inventario!$A$2:$A$1001)), C614*_xlfn.XLOOKUP(B614,inventario!$A$2:$A$1001,inventario!$E$2:$E$1001), "")</f>
        <v/>
      </c>
    </row>
    <row r="615" spans="4:5" x14ac:dyDescent="0.25">
      <c r="D615" s="4" t="str">
        <f>IF(ISNUMBER(MATCH(B615, inventario!$A$2:$A$1001)), _xlfn.XLOOKUP(B615,inventario!$A$2:$A$1001,inventario!$E$2:$E$1001), "")</f>
        <v/>
      </c>
      <c r="E615" s="4" t="str">
        <f>IF(ISNUMBER(MATCH(B615, inventario!$A$2:$A$1001)), C615*_xlfn.XLOOKUP(B615,inventario!$A$2:$A$1001,inventario!$E$2:$E$1001), "")</f>
        <v/>
      </c>
    </row>
    <row r="616" spans="4:5" x14ac:dyDescent="0.25">
      <c r="D616" s="4" t="str">
        <f>IF(ISNUMBER(MATCH(B616, inventario!$A$2:$A$1001)), _xlfn.XLOOKUP(B616,inventario!$A$2:$A$1001,inventario!$E$2:$E$1001), "")</f>
        <v/>
      </c>
      <c r="E616" s="4" t="str">
        <f>IF(ISNUMBER(MATCH(B616, inventario!$A$2:$A$1001)), C616*_xlfn.XLOOKUP(B616,inventario!$A$2:$A$1001,inventario!$E$2:$E$1001), "")</f>
        <v/>
      </c>
    </row>
    <row r="617" spans="4:5" x14ac:dyDescent="0.25">
      <c r="D617" s="4" t="str">
        <f>IF(ISNUMBER(MATCH(B617, inventario!$A$2:$A$1001)), _xlfn.XLOOKUP(B617,inventario!$A$2:$A$1001,inventario!$E$2:$E$1001), "")</f>
        <v/>
      </c>
      <c r="E617" s="4" t="str">
        <f>IF(ISNUMBER(MATCH(B617, inventario!$A$2:$A$1001)), C617*_xlfn.XLOOKUP(B617,inventario!$A$2:$A$1001,inventario!$E$2:$E$1001), "")</f>
        <v/>
      </c>
    </row>
    <row r="618" spans="4:5" x14ac:dyDescent="0.25">
      <c r="D618" s="4" t="str">
        <f>IF(ISNUMBER(MATCH(B618, inventario!$A$2:$A$1001)), _xlfn.XLOOKUP(B618,inventario!$A$2:$A$1001,inventario!$E$2:$E$1001), "")</f>
        <v/>
      </c>
      <c r="E618" s="4" t="str">
        <f>IF(ISNUMBER(MATCH(B618, inventario!$A$2:$A$1001)), C618*_xlfn.XLOOKUP(B618,inventario!$A$2:$A$1001,inventario!$E$2:$E$1001), "")</f>
        <v/>
      </c>
    </row>
    <row r="619" spans="4:5" x14ac:dyDescent="0.25">
      <c r="D619" s="4" t="str">
        <f>IF(ISNUMBER(MATCH(B619, inventario!$A$2:$A$1001)), _xlfn.XLOOKUP(B619,inventario!$A$2:$A$1001,inventario!$E$2:$E$1001), "")</f>
        <v/>
      </c>
      <c r="E619" s="4" t="str">
        <f>IF(ISNUMBER(MATCH(B619, inventario!$A$2:$A$1001)), C619*_xlfn.XLOOKUP(B619,inventario!$A$2:$A$1001,inventario!$E$2:$E$1001), "")</f>
        <v/>
      </c>
    </row>
    <row r="620" spans="4:5" x14ac:dyDescent="0.25">
      <c r="D620" s="4" t="str">
        <f>IF(ISNUMBER(MATCH(B620, inventario!$A$2:$A$1001)), _xlfn.XLOOKUP(B620,inventario!$A$2:$A$1001,inventario!$E$2:$E$1001), "")</f>
        <v/>
      </c>
      <c r="E620" s="4" t="str">
        <f>IF(ISNUMBER(MATCH(B620, inventario!$A$2:$A$1001)), C620*_xlfn.XLOOKUP(B620,inventario!$A$2:$A$1001,inventario!$E$2:$E$1001), "")</f>
        <v/>
      </c>
    </row>
    <row r="621" spans="4:5" x14ac:dyDescent="0.25">
      <c r="D621" s="4" t="str">
        <f>IF(ISNUMBER(MATCH(B621, inventario!$A$2:$A$1001)), _xlfn.XLOOKUP(B621,inventario!$A$2:$A$1001,inventario!$E$2:$E$1001), "")</f>
        <v/>
      </c>
      <c r="E621" s="4" t="str">
        <f>IF(ISNUMBER(MATCH(B621, inventario!$A$2:$A$1001)), C621*_xlfn.XLOOKUP(B621,inventario!$A$2:$A$1001,inventario!$E$2:$E$1001), "")</f>
        <v/>
      </c>
    </row>
    <row r="622" spans="4:5" x14ac:dyDescent="0.25">
      <c r="D622" s="4" t="str">
        <f>IF(ISNUMBER(MATCH(B622, inventario!$A$2:$A$1001)), _xlfn.XLOOKUP(B622,inventario!$A$2:$A$1001,inventario!$E$2:$E$1001), "")</f>
        <v/>
      </c>
      <c r="E622" s="4" t="str">
        <f>IF(ISNUMBER(MATCH(B622, inventario!$A$2:$A$1001)), C622*_xlfn.XLOOKUP(B622,inventario!$A$2:$A$1001,inventario!$E$2:$E$1001), "")</f>
        <v/>
      </c>
    </row>
    <row r="623" spans="4:5" x14ac:dyDescent="0.25">
      <c r="D623" s="4" t="str">
        <f>IF(ISNUMBER(MATCH(B623, inventario!$A$2:$A$1001)), _xlfn.XLOOKUP(B623,inventario!$A$2:$A$1001,inventario!$E$2:$E$1001), "")</f>
        <v/>
      </c>
      <c r="E623" s="4" t="str">
        <f>IF(ISNUMBER(MATCH(B623, inventario!$A$2:$A$1001)), C623*_xlfn.XLOOKUP(B623,inventario!$A$2:$A$1001,inventario!$E$2:$E$1001), "")</f>
        <v/>
      </c>
    </row>
    <row r="624" spans="4:5" x14ac:dyDescent="0.25">
      <c r="D624" s="4" t="str">
        <f>IF(ISNUMBER(MATCH(B624, inventario!$A$2:$A$1001)), _xlfn.XLOOKUP(B624,inventario!$A$2:$A$1001,inventario!$E$2:$E$1001), "")</f>
        <v/>
      </c>
      <c r="E624" s="4" t="str">
        <f>IF(ISNUMBER(MATCH(B624, inventario!$A$2:$A$1001)), C624*_xlfn.XLOOKUP(B624,inventario!$A$2:$A$1001,inventario!$E$2:$E$1001), "")</f>
        <v/>
      </c>
    </row>
    <row r="625" spans="4:5" x14ac:dyDescent="0.25">
      <c r="D625" s="4" t="str">
        <f>IF(ISNUMBER(MATCH(B625, inventario!$A$2:$A$1001)), _xlfn.XLOOKUP(B625,inventario!$A$2:$A$1001,inventario!$E$2:$E$1001), "")</f>
        <v/>
      </c>
      <c r="E625" s="4" t="str">
        <f>IF(ISNUMBER(MATCH(B625, inventario!$A$2:$A$1001)), C625*_xlfn.XLOOKUP(B625,inventario!$A$2:$A$1001,inventario!$E$2:$E$1001), "")</f>
        <v/>
      </c>
    </row>
    <row r="626" spans="4:5" x14ac:dyDescent="0.25">
      <c r="D626" s="4" t="str">
        <f>IF(ISNUMBER(MATCH(B626, inventario!$A$2:$A$1001)), _xlfn.XLOOKUP(B626,inventario!$A$2:$A$1001,inventario!$E$2:$E$1001), "")</f>
        <v/>
      </c>
      <c r="E626" s="4" t="str">
        <f>IF(ISNUMBER(MATCH(B626, inventario!$A$2:$A$1001)), C626*_xlfn.XLOOKUP(B626,inventario!$A$2:$A$1001,inventario!$E$2:$E$1001), "")</f>
        <v/>
      </c>
    </row>
    <row r="627" spans="4:5" x14ac:dyDescent="0.25">
      <c r="D627" s="4" t="str">
        <f>IF(ISNUMBER(MATCH(B627, inventario!$A$2:$A$1001)), _xlfn.XLOOKUP(B627,inventario!$A$2:$A$1001,inventario!$E$2:$E$1001), "")</f>
        <v/>
      </c>
      <c r="E627" s="4" t="str">
        <f>IF(ISNUMBER(MATCH(B627, inventario!$A$2:$A$1001)), C627*_xlfn.XLOOKUP(B627,inventario!$A$2:$A$1001,inventario!$E$2:$E$1001), "")</f>
        <v/>
      </c>
    </row>
    <row r="628" spans="4:5" x14ac:dyDescent="0.25">
      <c r="D628" s="4" t="str">
        <f>IF(ISNUMBER(MATCH(B628, inventario!$A$2:$A$1001)), _xlfn.XLOOKUP(B628,inventario!$A$2:$A$1001,inventario!$E$2:$E$1001), "")</f>
        <v/>
      </c>
      <c r="E628" s="4" t="str">
        <f>IF(ISNUMBER(MATCH(B628, inventario!$A$2:$A$1001)), C628*_xlfn.XLOOKUP(B628,inventario!$A$2:$A$1001,inventario!$E$2:$E$1001), "")</f>
        <v/>
      </c>
    </row>
    <row r="629" spans="4:5" x14ac:dyDescent="0.25">
      <c r="D629" s="4" t="str">
        <f>IF(ISNUMBER(MATCH(B629, inventario!$A$2:$A$1001)), _xlfn.XLOOKUP(B629,inventario!$A$2:$A$1001,inventario!$E$2:$E$1001), "")</f>
        <v/>
      </c>
      <c r="E629" s="4" t="str">
        <f>IF(ISNUMBER(MATCH(B629, inventario!$A$2:$A$1001)), C629*_xlfn.XLOOKUP(B629,inventario!$A$2:$A$1001,inventario!$E$2:$E$1001), "")</f>
        <v/>
      </c>
    </row>
    <row r="630" spans="4:5" x14ac:dyDescent="0.25">
      <c r="D630" s="4" t="str">
        <f>IF(ISNUMBER(MATCH(B630, inventario!$A$2:$A$1001)), _xlfn.XLOOKUP(B630,inventario!$A$2:$A$1001,inventario!$E$2:$E$1001), "")</f>
        <v/>
      </c>
      <c r="E630" s="4" t="str">
        <f>IF(ISNUMBER(MATCH(B630, inventario!$A$2:$A$1001)), C630*_xlfn.XLOOKUP(B630,inventario!$A$2:$A$1001,inventario!$E$2:$E$1001), "")</f>
        <v/>
      </c>
    </row>
    <row r="631" spans="4:5" x14ac:dyDescent="0.25">
      <c r="D631" s="4" t="str">
        <f>IF(ISNUMBER(MATCH(B631, inventario!$A$2:$A$1001)), _xlfn.XLOOKUP(B631,inventario!$A$2:$A$1001,inventario!$E$2:$E$1001), "")</f>
        <v/>
      </c>
      <c r="E631" s="4" t="str">
        <f>IF(ISNUMBER(MATCH(B631, inventario!$A$2:$A$1001)), C631*_xlfn.XLOOKUP(B631,inventario!$A$2:$A$1001,inventario!$E$2:$E$1001), "")</f>
        <v/>
      </c>
    </row>
    <row r="632" spans="4:5" x14ac:dyDescent="0.25">
      <c r="D632" s="4" t="str">
        <f>IF(ISNUMBER(MATCH(B632, inventario!$A$2:$A$1001)), _xlfn.XLOOKUP(B632,inventario!$A$2:$A$1001,inventario!$E$2:$E$1001), "")</f>
        <v/>
      </c>
      <c r="E632" s="4" t="str">
        <f>IF(ISNUMBER(MATCH(B632, inventario!$A$2:$A$1001)), C632*_xlfn.XLOOKUP(B632,inventario!$A$2:$A$1001,inventario!$E$2:$E$1001), "")</f>
        <v/>
      </c>
    </row>
    <row r="633" spans="4:5" x14ac:dyDescent="0.25">
      <c r="D633" s="4" t="str">
        <f>IF(ISNUMBER(MATCH(B633, inventario!$A$2:$A$1001)), _xlfn.XLOOKUP(B633,inventario!$A$2:$A$1001,inventario!$E$2:$E$1001), "")</f>
        <v/>
      </c>
      <c r="E633" s="4" t="str">
        <f>IF(ISNUMBER(MATCH(B633, inventario!$A$2:$A$1001)), C633*_xlfn.XLOOKUP(B633,inventario!$A$2:$A$1001,inventario!$E$2:$E$1001), "")</f>
        <v/>
      </c>
    </row>
    <row r="634" spans="4:5" x14ac:dyDescent="0.25">
      <c r="D634" s="4" t="str">
        <f>IF(ISNUMBER(MATCH(B634, inventario!$A$2:$A$1001)), _xlfn.XLOOKUP(B634,inventario!$A$2:$A$1001,inventario!$E$2:$E$1001), "")</f>
        <v/>
      </c>
      <c r="E634" s="4" t="str">
        <f>IF(ISNUMBER(MATCH(B634, inventario!$A$2:$A$1001)), C634*_xlfn.XLOOKUP(B634,inventario!$A$2:$A$1001,inventario!$E$2:$E$1001), "")</f>
        <v/>
      </c>
    </row>
    <row r="635" spans="4:5" x14ac:dyDescent="0.25">
      <c r="D635" s="4" t="str">
        <f>IF(ISNUMBER(MATCH(B635, inventario!$A$2:$A$1001)), _xlfn.XLOOKUP(B635,inventario!$A$2:$A$1001,inventario!$E$2:$E$1001), "")</f>
        <v/>
      </c>
      <c r="E635" s="4" t="str">
        <f>IF(ISNUMBER(MATCH(B635, inventario!$A$2:$A$1001)), C635*_xlfn.XLOOKUP(B635,inventario!$A$2:$A$1001,inventario!$E$2:$E$1001), "")</f>
        <v/>
      </c>
    </row>
    <row r="636" spans="4:5" x14ac:dyDescent="0.25">
      <c r="D636" s="4" t="str">
        <f>IF(ISNUMBER(MATCH(B636, inventario!$A$2:$A$1001)), _xlfn.XLOOKUP(B636,inventario!$A$2:$A$1001,inventario!$E$2:$E$1001), "")</f>
        <v/>
      </c>
      <c r="E636" s="4" t="str">
        <f>IF(ISNUMBER(MATCH(B636, inventario!$A$2:$A$1001)), C636*_xlfn.XLOOKUP(B636,inventario!$A$2:$A$1001,inventario!$E$2:$E$1001), "")</f>
        <v/>
      </c>
    </row>
    <row r="637" spans="4:5" x14ac:dyDescent="0.25">
      <c r="D637" s="4" t="str">
        <f>IF(ISNUMBER(MATCH(B637, inventario!$A$2:$A$1001)), _xlfn.XLOOKUP(B637,inventario!$A$2:$A$1001,inventario!$E$2:$E$1001), "")</f>
        <v/>
      </c>
      <c r="E637" s="4" t="str">
        <f>IF(ISNUMBER(MATCH(B637, inventario!$A$2:$A$1001)), C637*_xlfn.XLOOKUP(B637,inventario!$A$2:$A$1001,inventario!$E$2:$E$1001), "")</f>
        <v/>
      </c>
    </row>
    <row r="638" spans="4:5" x14ac:dyDescent="0.25">
      <c r="D638" s="4" t="str">
        <f>IF(ISNUMBER(MATCH(B638, inventario!$A$2:$A$1001)), _xlfn.XLOOKUP(B638,inventario!$A$2:$A$1001,inventario!$E$2:$E$1001), "")</f>
        <v/>
      </c>
      <c r="E638" s="4" t="str">
        <f>IF(ISNUMBER(MATCH(B638, inventario!$A$2:$A$1001)), C638*_xlfn.XLOOKUP(B638,inventario!$A$2:$A$1001,inventario!$E$2:$E$1001), "")</f>
        <v/>
      </c>
    </row>
    <row r="639" spans="4:5" x14ac:dyDescent="0.25">
      <c r="D639" s="4" t="str">
        <f>IF(ISNUMBER(MATCH(B639, inventario!$A$2:$A$1001)), _xlfn.XLOOKUP(B639,inventario!$A$2:$A$1001,inventario!$E$2:$E$1001), "")</f>
        <v/>
      </c>
      <c r="E639" s="4" t="str">
        <f>IF(ISNUMBER(MATCH(B639, inventario!$A$2:$A$1001)), C639*_xlfn.XLOOKUP(B639,inventario!$A$2:$A$1001,inventario!$E$2:$E$1001), "")</f>
        <v/>
      </c>
    </row>
    <row r="640" spans="4:5" x14ac:dyDescent="0.25">
      <c r="D640" s="4" t="str">
        <f>IF(ISNUMBER(MATCH(B640, inventario!$A$2:$A$1001)), _xlfn.XLOOKUP(B640,inventario!$A$2:$A$1001,inventario!$E$2:$E$1001), "")</f>
        <v/>
      </c>
      <c r="E640" s="4" t="str">
        <f>IF(ISNUMBER(MATCH(B640, inventario!$A$2:$A$1001)), C640*_xlfn.XLOOKUP(B640,inventario!$A$2:$A$1001,inventario!$E$2:$E$1001), "")</f>
        <v/>
      </c>
    </row>
    <row r="641" spans="4:5" x14ac:dyDescent="0.25">
      <c r="D641" s="4" t="str">
        <f>IF(ISNUMBER(MATCH(B641, inventario!$A$2:$A$1001)), _xlfn.XLOOKUP(B641,inventario!$A$2:$A$1001,inventario!$E$2:$E$1001), "")</f>
        <v/>
      </c>
      <c r="E641" s="4" t="str">
        <f>IF(ISNUMBER(MATCH(B641, inventario!$A$2:$A$1001)), C641*_xlfn.XLOOKUP(B641,inventario!$A$2:$A$1001,inventario!$E$2:$E$1001), "")</f>
        <v/>
      </c>
    </row>
    <row r="642" spans="4:5" x14ac:dyDescent="0.25">
      <c r="D642" s="4" t="str">
        <f>IF(ISNUMBER(MATCH(B642, inventario!$A$2:$A$1001)), _xlfn.XLOOKUP(B642,inventario!$A$2:$A$1001,inventario!$E$2:$E$1001), "")</f>
        <v/>
      </c>
      <c r="E642" s="4" t="str">
        <f>IF(ISNUMBER(MATCH(B642, inventario!$A$2:$A$1001)), C642*_xlfn.XLOOKUP(B642,inventario!$A$2:$A$1001,inventario!$E$2:$E$1001), "")</f>
        <v/>
      </c>
    </row>
    <row r="643" spans="4:5" x14ac:dyDescent="0.25">
      <c r="D643" s="4" t="str">
        <f>IF(ISNUMBER(MATCH(B643, inventario!$A$2:$A$1001)), _xlfn.XLOOKUP(B643,inventario!$A$2:$A$1001,inventario!$E$2:$E$1001), "")</f>
        <v/>
      </c>
      <c r="E643" s="4" t="str">
        <f>IF(ISNUMBER(MATCH(B643, inventario!$A$2:$A$1001)), C643*_xlfn.XLOOKUP(B643,inventario!$A$2:$A$1001,inventario!$E$2:$E$1001), "")</f>
        <v/>
      </c>
    </row>
    <row r="644" spans="4:5" x14ac:dyDescent="0.25">
      <c r="D644" s="4" t="str">
        <f>IF(ISNUMBER(MATCH(B644, inventario!$A$2:$A$1001)), _xlfn.XLOOKUP(B644,inventario!$A$2:$A$1001,inventario!$E$2:$E$1001), "")</f>
        <v/>
      </c>
      <c r="E644" s="4" t="str">
        <f>IF(ISNUMBER(MATCH(B644, inventario!$A$2:$A$1001)), C644*_xlfn.XLOOKUP(B644,inventario!$A$2:$A$1001,inventario!$E$2:$E$1001), "")</f>
        <v/>
      </c>
    </row>
    <row r="645" spans="4:5" x14ac:dyDescent="0.25">
      <c r="D645" s="4" t="str">
        <f>IF(ISNUMBER(MATCH(B645, inventario!$A$2:$A$1001)), _xlfn.XLOOKUP(B645,inventario!$A$2:$A$1001,inventario!$E$2:$E$1001), "")</f>
        <v/>
      </c>
      <c r="E645" s="4" t="str">
        <f>IF(ISNUMBER(MATCH(B645, inventario!$A$2:$A$1001)), C645*_xlfn.XLOOKUP(B645,inventario!$A$2:$A$1001,inventario!$E$2:$E$1001), "")</f>
        <v/>
      </c>
    </row>
    <row r="646" spans="4:5" x14ac:dyDescent="0.25">
      <c r="D646" s="4" t="str">
        <f>IF(ISNUMBER(MATCH(B646, inventario!$A$2:$A$1001)), _xlfn.XLOOKUP(B646,inventario!$A$2:$A$1001,inventario!$E$2:$E$1001), "")</f>
        <v/>
      </c>
      <c r="E646" s="4" t="str">
        <f>IF(ISNUMBER(MATCH(B646, inventario!$A$2:$A$1001)), C646*_xlfn.XLOOKUP(B646,inventario!$A$2:$A$1001,inventario!$E$2:$E$1001), "")</f>
        <v/>
      </c>
    </row>
    <row r="647" spans="4:5" x14ac:dyDescent="0.25">
      <c r="D647" s="4" t="str">
        <f>IF(ISNUMBER(MATCH(B647, inventario!$A$2:$A$1001)), _xlfn.XLOOKUP(B647,inventario!$A$2:$A$1001,inventario!$E$2:$E$1001), "")</f>
        <v/>
      </c>
      <c r="E647" s="4" t="str">
        <f>IF(ISNUMBER(MATCH(B647, inventario!$A$2:$A$1001)), C647*_xlfn.XLOOKUP(B647,inventario!$A$2:$A$1001,inventario!$E$2:$E$1001), "")</f>
        <v/>
      </c>
    </row>
    <row r="648" spans="4:5" x14ac:dyDescent="0.25">
      <c r="D648" s="4" t="str">
        <f>IF(ISNUMBER(MATCH(B648, inventario!$A$2:$A$1001)), _xlfn.XLOOKUP(B648,inventario!$A$2:$A$1001,inventario!$E$2:$E$1001), "")</f>
        <v/>
      </c>
      <c r="E648" s="4" t="str">
        <f>IF(ISNUMBER(MATCH(B648, inventario!$A$2:$A$1001)), C648*_xlfn.XLOOKUP(B648,inventario!$A$2:$A$1001,inventario!$E$2:$E$1001), "")</f>
        <v/>
      </c>
    </row>
    <row r="649" spans="4:5" x14ac:dyDescent="0.25">
      <c r="D649" s="4" t="str">
        <f>IF(ISNUMBER(MATCH(B649, inventario!$A$2:$A$1001)), _xlfn.XLOOKUP(B649,inventario!$A$2:$A$1001,inventario!$E$2:$E$1001), "")</f>
        <v/>
      </c>
      <c r="E649" s="4" t="str">
        <f>IF(ISNUMBER(MATCH(B649, inventario!$A$2:$A$1001)), C649*_xlfn.XLOOKUP(B649,inventario!$A$2:$A$1001,inventario!$E$2:$E$1001), "")</f>
        <v/>
      </c>
    </row>
    <row r="650" spans="4:5" x14ac:dyDescent="0.25">
      <c r="D650" s="4" t="str">
        <f>IF(ISNUMBER(MATCH(B650, inventario!$A$2:$A$1001)), _xlfn.XLOOKUP(B650,inventario!$A$2:$A$1001,inventario!$E$2:$E$1001), "")</f>
        <v/>
      </c>
      <c r="E650" s="4" t="str">
        <f>IF(ISNUMBER(MATCH(B650, inventario!$A$2:$A$1001)), C650*_xlfn.XLOOKUP(B650,inventario!$A$2:$A$1001,inventario!$E$2:$E$1001), "")</f>
        <v/>
      </c>
    </row>
    <row r="651" spans="4:5" x14ac:dyDescent="0.25">
      <c r="D651" s="4" t="str">
        <f>IF(ISNUMBER(MATCH(B651, inventario!$A$2:$A$1001)), _xlfn.XLOOKUP(B651,inventario!$A$2:$A$1001,inventario!$E$2:$E$1001), "")</f>
        <v/>
      </c>
      <c r="E651" s="4" t="str">
        <f>IF(ISNUMBER(MATCH(B651, inventario!$A$2:$A$1001)), C651*_xlfn.XLOOKUP(B651,inventario!$A$2:$A$1001,inventario!$E$2:$E$1001), "")</f>
        <v/>
      </c>
    </row>
    <row r="652" spans="4:5" x14ac:dyDescent="0.25">
      <c r="D652" s="4" t="str">
        <f>IF(ISNUMBER(MATCH(B652, inventario!$A$2:$A$1001)), _xlfn.XLOOKUP(B652,inventario!$A$2:$A$1001,inventario!$E$2:$E$1001), "")</f>
        <v/>
      </c>
      <c r="E652" s="4" t="str">
        <f>IF(ISNUMBER(MATCH(B652, inventario!$A$2:$A$1001)), C652*_xlfn.XLOOKUP(B652,inventario!$A$2:$A$1001,inventario!$E$2:$E$1001), "")</f>
        <v/>
      </c>
    </row>
    <row r="653" spans="4:5" x14ac:dyDescent="0.25">
      <c r="D653" s="4" t="str">
        <f>IF(ISNUMBER(MATCH(B653, inventario!$A$2:$A$1001)), _xlfn.XLOOKUP(B653,inventario!$A$2:$A$1001,inventario!$E$2:$E$1001), "")</f>
        <v/>
      </c>
      <c r="E653" s="4" t="str">
        <f>IF(ISNUMBER(MATCH(B653, inventario!$A$2:$A$1001)), C653*_xlfn.XLOOKUP(B653,inventario!$A$2:$A$1001,inventario!$E$2:$E$1001), "")</f>
        <v/>
      </c>
    </row>
    <row r="654" spans="4:5" x14ac:dyDescent="0.25">
      <c r="D654" s="4" t="str">
        <f>IF(ISNUMBER(MATCH(B654, inventario!$A$2:$A$1001)), _xlfn.XLOOKUP(B654,inventario!$A$2:$A$1001,inventario!$E$2:$E$1001), "")</f>
        <v/>
      </c>
      <c r="E654" s="4" t="str">
        <f>IF(ISNUMBER(MATCH(B654, inventario!$A$2:$A$1001)), C654*_xlfn.XLOOKUP(B654,inventario!$A$2:$A$1001,inventario!$E$2:$E$1001), "")</f>
        <v/>
      </c>
    </row>
    <row r="655" spans="4:5" x14ac:dyDescent="0.25">
      <c r="D655" s="4" t="str">
        <f>IF(ISNUMBER(MATCH(B655, inventario!$A$2:$A$1001)), _xlfn.XLOOKUP(B655,inventario!$A$2:$A$1001,inventario!$E$2:$E$1001), "")</f>
        <v/>
      </c>
      <c r="E655" s="4" t="str">
        <f>IF(ISNUMBER(MATCH(B655, inventario!$A$2:$A$1001)), C655*_xlfn.XLOOKUP(B655,inventario!$A$2:$A$1001,inventario!$E$2:$E$1001), "")</f>
        <v/>
      </c>
    </row>
    <row r="656" spans="4:5" x14ac:dyDescent="0.25">
      <c r="D656" s="4" t="str">
        <f>IF(ISNUMBER(MATCH(B656, inventario!$A$2:$A$1001)), _xlfn.XLOOKUP(B656,inventario!$A$2:$A$1001,inventario!$E$2:$E$1001), "")</f>
        <v/>
      </c>
      <c r="E656" s="4" t="str">
        <f>IF(ISNUMBER(MATCH(B656, inventario!$A$2:$A$1001)), C656*_xlfn.XLOOKUP(B656,inventario!$A$2:$A$1001,inventario!$E$2:$E$1001), "")</f>
        <v/>
      </c>
    </row>
    <row r="657" spans="4:5" x14ac:dyDescent="0.25">
      <c r="D657" s="4" t="str">
        <f>IF(ISNUMBER(MATCH(B657, inventario!$A$2:$A$1001)), _xlfn.XLOOKUP(B657,inventario!$A$2:$A$1001,inventario!$E$2:$E$1001), "")</f>
        <v/>
      </c>
      <c r="E657" s="4" t="str">
        <f>IF(ISNUMBER(MATCH(B657, inventario!$A$2:$A$1001)), C657*_xlfn.XLOOKUP(B657,inventario!$A$2:$A$1001,inventario!$E$2:$E$1001), "")</f>
        <v/>
      </c>
    </row>
    <row r="658" spans="4:5" x14ac:dyDescent="0.25">
      <c r="D658" s="4" t="str">
        <f>IF(ISNUMBER(MATCH(B658, inventario!$A$2:$A$1001)), _xlfn.XLOOKUP(B658,inventario!$A$2:$A$1001,inventario!$E$2:$E$1001), "")</f>
        <v/>
      </c>
      <c r="E658" s="4" t="str">
        <f>IF(ISNUMBER(MATCH(B658, inventario!$A$2:$A$1001)), C658*_xlfn.XLOOKUP(B658,inventario!$A$2:$A$1001,inventario!$E$2:$E$1001), "")</f>
        <v/>
      </c>
    </row>
    <row r="659" spans="4:5" x14ac:dyDescent="0.25">
      <c r="D659" s="4" t="str">
        <f>IF(ISNUMBER(MATCH(B659, inventario!$A$2:$A$1001)), _xlfn.XLOOKUP(B659,inventario!$A$2:$A$1001,inventario!$E$2:$E$1001), "")</f>
        <v/>
      </c>
      <c r="E659" s="4" t="str">
        <f>IF(ISNUMBER(MATCH(B659, inventario!$A$2:$A$1001)), C659*_xlfn.XLOOKUP(B659,inventario!$A$2:$A$1001,inventario!$E$2:$E$1001), "")</f>
        <v/>
      </c>
    </row>
    <row r="660" spans="4:5" x14ac:dyDescent="0.25">
      <c r="D660" s="4" t="str">
        <f>IF(ISNUMBER(MATCH(B660, inventario!$A$2:$A$1001)), _xlfn.XLOOKUP(B660,inventario!$A$2:$A$1001,inventario!$E$2:$E$1001), "")</f>
        <v/>
      </c>
      <c r="E660" s="4" t="str">
        <f>IF(ISNUMBER(MATCH(B660, inventario!$A$2:$A$1001)), C660*_xlfn.XLOOKUP(B660,inventario!$A$2:$A$1001,inventario!$E$2:$E$1001), "")</f>
        <v/>
      </c>
    </row>
    <row r="661" spans="4:5" x14ac:dyDescent="0.25">
      <c r="D661" s="4" t="str">
        <f>IF(ISNUMBER(MATCH(B661, inventario!$A$2:$A$1001)), _xlfn.XLOOKUP(B661,inventario!$A$2:$A$1001,inventario!$E$2:$E$1001), "")</f>
        <v/>
      </c>
      <c r="E661" s="4" t="str">
        <f>IF(ISNUMBER(MATCH(B661, inventario!$A$2:$A$1001)), C661*_xlfn.XLOOKUP(B661,inventario!$A$2:$A$1001,inventario!$E$2:$E$1001), "")</f>
        <v/>
      </c>
    </row>
    <row r="662" spans="4:5" x14ac:dyDescent="0.25">
      <c r="D662" s="4" t="str">
        <f>IF(ISNUMBER(MATCH(B662, inventario!$A$2:$A$1001)), _xlfn.XLOOKUP(B662,inventario!$A$2:$A$1001,inventario!$E$2:$E$1001), "")</f>
        <v/>
      </c>
      <c r="E662" s="4" t="str">
        <f>IF(ISNUMBER(MATCH(B662, inventario!$A$2:$A$1001)), C662*_xlfn.XLOOKUP(B662,inventario!$A$2:$A$1001,inventario!$E$2:$E$1001), "")</f>
        <v/>
      </c>
    </row>
    <row r="663" spans="4:5" x14ac:dyDescent="0.25">
      <c r="D663" s="4" t="str">
        <f>IF(ISNUMBER(MATCH(B663, inventario!$A$2:$A$1001)), _xlfn.XLOOKUP(B663,inventario!$A$2:$A$1001,inventario!$E$2:$E$1001), "")</f>
        <v/>
      </c>
      <c r="E663" s="4" t="str">
        <f>IF(ISNUMBER(MATCH(B663, inventario!$A$2:$A$1001)), C663*_xlfn.XLOOKUP(B663,inventario!$A$2:$A$1001,inventario!$E$2:$E$1001), "")</f>
        <v/>
      </c>
    </row>
    <row r="664" spans="4:5" x14ac:dyDescent="0.25">
      <c r="D664" s="4" t="str">
        <f>IF(ISNUMBER(MATCH(B664, inventario!$A$2:$A$1001)), _xlfn.XLOOKUP(B664,inventario!$A$2:$A$1001,inventario!$E$2:$E$1001), "")</f>
        <v/>
      </c>
      <c r="E664" s="4" t="str">
        <f>IF(ISNUMBER(MATCH(B664, inventario!$A$2:$A$1001)), C664*_xlfn.XLOOKUP(B664,inventario!$A$2:$A$1001,inventario!$E$2:$E$1001), "")</f>
        <v/>
      </c>
    </row>
    <row r="665" spans="4:5" x14ac:dyDescent="0.25">
      <c r="D665" s="4" t="str">
        <f>IF(ISNUMBER(MATCH(B665, inventario!$A$2:$A$1001)), _xlfn.XLOOKUP(B665,inventario!$A$2:$A$1001,inventario!$E$2:$E$1001), "")</f>
        <v/>
      </c>
      <c r="E665" s="4" t="str">
        <f>IF(ISNUMBER(MATCH(B665, inventario!$A$2:$A$1001)), C665*_xlfn.XLOOKUP(B665,inventario!$A$2:$A$1001,inventario!$E$2:$E$1001), "")</f>
        <v/>
      </c>
    </row>
    <row r="666" spans="4:5" x14ac:dyDescent="0.25">
      <c r="D666" s="4" t="str">
        <f>IF(ISNUMBER(MATCH(B666, inventario!$A$2:$A$1001)), _xlfn.XLOOKUP(B666,inventario!$A$2:$A$1001,inventario!$E$2:$E$1001), "")</f>
        <v/>
      </c>
      <c r="E666" s="4" t="str">
        <f>IF(ISNUMBER(MATCH(B666, inventario!$A$2:$A$1001)), C666*_xlfn.XLOOKUP(B666,inventario!$A$2:$A$1001,inventario!$E$2:$E$1001), "")</f>
        <v/>
      </c>
    </row>
    <row r="667" spans="4:5" x14ac:dyDescent="0.25">
      <c r="D667" s="4" t="str">
        <f>IF(ISNUMBER(MATCH(B667, inventario!$A$2:$A$1001)), _xlfn.XLOOKUP(B667,inventario!$A$2:$A$1001,inventario!$E$2:$E$1001), "")</f>
        <v/>
      </c>
      <c r="E667" s="4" t="str">
        <f>IF(ISNUMBER(MATCH(B667, inventario!$A$2:$A$1001)), C667*_xlfn.XLOOKUP(B667,inventario!$A$2:$A$1001,inventario!$E$2:$E$1001), "")</f>
        <v/>
      </c>
    </row>
    <row r="668" spans="4:5" x14ac:dyDescent="0.25">
      <c r="D668" s="4" t="str">
        <f>IF(ISNUMBER(MATCH(B668, inventario!$A$2:$A$1001)), _xlfn.XLOOKUP(B668,inventario!$A$2:$A$1001,inventario!$E$2:$E$1001), "")</f>
        <v/>
      </c>
      <c r="E668" s="4" t="str">
        <f>IF(ISNUMBER(MATCH(B668, inventario!$A$2:$A$1001)), C668*_xlfn.XLOOKUP(B668,inventario!$A$2:$A$1001,inventario!$E$2:$E$1001), "")</f>
        <v/>
      </c>
    </row>
    <row r="669" spans="4:5" x14ac:dyDescent="0.25">
      <c r="D669" s="4" t="str">
        <f>IF(ISNUMBER(MATCH(B669, inventario!$A$2:$A$1001)), _xlfn.XLOOKUP(B669,inventario!$A$2:$A$1001,inventario!$E$2:$E$1001), "")</f>
        <v/>
      </c>
      <c r="E669" s="4" t="str">
        <f>IF(ISNUMBER(MATCH(B669, inventario!$A$2:$A$1001)), C669*_xlfn.XLOOKUP(B669,inventario!$A$2:$A$1001,inventario!$E$2:$E$1001), "")</f>
        <v/>
      </c>
    </row>
    <row r="670" spans="4:5" x14ac:dyDescent="0.25">
      <c r="D670" s="4" t="str">
        <f>IF(ISNUMBER(MATCH(B670, inventario!$A$2:$A$1001)), _xlfn.XLOOKUP(B670,inventario!$A$2:$A$1001,inventario!$E$2:$E$1001), "")</f>
        <v/>
      </c>
      <c r="E670" s="4" t="str">
        <f>IF(ISNUMBER(MATCH(B670, inventario!$A$2:$A$1001)), C670*_xlfn.XLOOKUP(B670,inventario!$A$2:$A$1001,inventario!$E$2:$E$1001), "")</f>
        <v/>
      </c>
    </row>
    <row r="671" spans="4:5" x14ac:dyDescent="0.25">
      <c r="D671" s="4" t="str">
        <f>IF(ISNUMBER(MATCH(B671, inventario!$A$2:$A$1001)), _xlfn.XLOOKUP(B671,inventario!$A$2:$A$1001,inventario!$E$2:$E$1001), "")</f>
        <v/>
      </c>
      <c r="E671" s="4" t="str">
        <f>IF(ISNUMBER(MATCH(B671, inventario!$A$2:$A$1001)), C671*_xlfn.XLOOKUP(B671,inventario!$A$2:$A$1001,inventario!$E$2:$E$1001), "")</f>
        <v/>
      </c>
    </row>
    <row r="672" spans="4:5" x14ac:dyDescent="0.25">
      <c r="D672" s="4" t="str">
        <f>IF(ISNUMBER(MATCH(B672, inventario!$A$2:$A$1001)), _xlfn.XLOOKUP(B672,inventario!$A$2:$A$1001,inventario!$E$2:$E$1001), "")</f>
        <v/>
      </c>
      <c r="E672" s="4" t="str">
        <f>IF(ISNUMBER(MATCH(B672, inventario!$A$2:$A$1001)), C672*_xlfn.XLOOKUP(B672,inventario!$A$2:$A$1001,inventario!$E$2:$E$1001), "")</f>
        <v/>
      </c>
    </row>
    <row r="673" spans="4:5" x14ac:dyDescent="0.25">
      <c r="D673" s="4" t="str">
        <f>IF(ISNUMBER(MATCH(B673, inventario!$A$2:$A$1001)), _xlfn.XLOOKUP(B673,inventario!$A$2:$A$1001,inventario!$E$2:$E$1001), "")</f>
        <v/>
      </c>
      <c r="E673" s="4" t="str">
        <f>IF(ISNUMBER(MATCH(B673, inventario!$A$2:$A$1001)), C673*_xlfn.XLOOKUP(B673,inventario!$A$2:$A$1001,inventario!$E$2:$E$1001), "")</f>
        <v/>
      </c>
    </row>
    <row r="674" spans="4:5" x14ac:dyDescent="0.25">
      <c r="D674" s="4" t="str">
        <f>IF(ISNUMBER(MATCH(B674, inventario!$A$2:$A$1001)), _xlfn.XLOOKUP(B674,inventario!$A$2:$A$1001,inventario!$E$2:$E$1001), "")</f>
        <v/>
      </c>
      <c r="E674" s="4" t="str">
        <f>IF(ISNUMBER(MATCH(B674, inventario!$A$2:$A$1001)), C674*_xlfn.XLOOKUP(B674,inventario!$A$2:$A$1001,inventario!$E$2:$E$1001), "")</f>
        <v/>
      </c>
    </row>
    <row r="675" spans="4:5" x14ac:dyDescent="0.25">
      <c r="D675" s="4" t="str">
        <f>IF(ISNUMBER(MATCH(B675, inventario!$A$2:$A$1001)), _xlfn.XLOOKUP(B675,inventario!$A$2:$A$1001,inventario!$E$2:$E$1001), "")</f>
        <v/>
      </c>
      <c r="E675" s="4" t="str">
        <f>IF(ISNUMBER(MATCH(B675, inventario!$A$2:$A$1001)), C675*_xlfn.XLOOKUP(B675,inventario!$A$2:$A$1001,inventario!$E$2:$E$1001), "")</f>
        <v/>
      </c>
    </row>
    <row r="676" spans="4:5" x14ac:dyDescent="0.25">
      <c r="D676" s="4" t="str">
        <f>IF(ISNUMBER(MATCH(B676, inventario!$A$2:$A$1001)), _xlfn.XLOOKUP(B676,inventario!$A$2:$A$1001,inventario!$E$2:$E$1001), "")</f>
        <v/>
      </c>
      <c r="E676" s="4" t="str">
        <f>IF(ISNUMBER(MATCH(B676, inventario!$A$2:$A$1001)), C676*_xlfn.XLOOKUP(B676,inventario!$A$2:$A$1001,inventario!$E$2:$E$1001), "")</f>
        <v/>
      </c>
    </row>
    <row r="677" spans="4:5" x14ac:dyDescent="0.25">
      <c r="D677" s="4" t="str">
        <f>IF(ISNUMBER(MATCH(B677, inventario!$A$2:$A$1001)), _xlfn.XLOOKUP(B677,inventario!$A$2:$A$1001,inventario!$E$2:$E$1001), "")</f>
        <v/>
      </c>
      <c r="E677" s="4" t="str">
        <f>IF(ISNUMBER(MATCH(B677, inventario!$A$2:$A$1001)), C677*_xlfn.XLOOKUP(B677,inventario!$A$2:$A$1001,inventario!$E$2:$E$1001), "")</f>
        <v/>
      </c>
    </row>
    <row r="678" spans="4:5" x14ac:dyDescent="0.25">
      <c r="D678" s="4" t="str">
        <f>IF(ISNUMBER(MATCH(B678, inventario!$A$2:$A$1001)), _xlfn.XLOOKUP(B678,inventario!$A$2:$A$1001,inventario!$E$2:$E$1001), "")</f>
        <v/>
      </c>
      <c r="E678" s="4" t="str">
        <f>IF(ISNUMBER(MATCH(B678, inventario!$A$2:$A$1001)), C678*_xlfn.XLOOKUP(B678,inventario!$A$2:$A$1001,inventario!$E$2:$E$1001), "")</f>
        <v/>
      </c>
    </row>
    <row r="679" spans="4:5" x14ac:dyDescent="0.25">
      <c r="D679" s="4" t="str">
        <f>IF(ISNUMBER(MATCH(B679, inventario!$A$2:$A$1001)), _xlfn.XLOOKUP(B679,inventario!$A$2:$A$1001,inventario!$E$2:$E$1001), "")</f>
        <v/>
      </c>
      <c r="E679" s="4" t="str">
        <f>IF(ISNUMBER(MATCH(B679, inventario!$A$2:$A$1001)), C679*_xlfn.XLOOKUP(B679,inventario!$A$2:$A$1001,inventario!$E$2:$E$1001), "")</f>
        <v/>
      </c>
    </row>
    <row r="680" spans="4:5" x14ac:dyDescent="0.25">
      <c r="D680" s="4" t="str">
        <f>IF(ISNUMBER(MATCH(B680, inventario!$A$2:$A$1001)), _xlfn.XLOOKUP(B680,inventario!$A$2:$A$1001,inventario!$E$2:$E$1001), "")</f>
        <v/>
      </c>
      <c r="E680" s="4" t="str">
        <f>IF(ISNUMBER(MATCH(B680, inventario!$A$2:$A$1001)), C680*_xlfn.XLOOKUP(B680,inventario!$A$2:$A$1001,inventario!$E$2:$E$1001), "")</f>
        <v/>
      </c>
    </row>
    <row r="681" spans="4:5" x14ac:dyDescent="0.25">
      <c r="D681" s="4" t="str">
        <f>IF(ISNUMBER(MATCH(B681, inventario!$A$2:$A$1001)), _xlfn.XLOOKUP(B681,inventario!$A$2:$A$1001,inventario!$E$2:$E$1001), "")</f>
        <v/>
      </c>
      <c r="E681" s="4" t="str">
        <f>IF(ISNUMBER(MATCH(B681, inventario!$A$2:$A$1001)), C681*_xlfn.XLOOKUP(B681,inventario!$A$2:$A$1001,inventario!$E$2:$E$1001), "")</f>
        <v/>
      </c>
    </row>
    <row r="682" spans="4:5" x14ac:dyDescent="0.25">
      <c r="D682" s="4" t="str">
        <f>IF(ISNUMBER(MATCH(B682, inventario!$A$2:$A$1001)), _xlfn.XLOOKUP(B682,inventario!$A$2:$A$1001,inventario!$E$2:$E$1001), "")</f>
        <v/>
      </c>
      <c r="E682" s="4" t="str">
        <f>IF(ISNUMBER(MATCH(B682, inventario!$A$2:$A$1001)), C682*_xlfn.XLOOKUP(B682,inventario!$A$2:$A$1001,inventario!$E$2:$E$1001), "")</f>
        <v/>
      </c>
    </row>
    <row r="683" spans="4:5" x14ac:dyDescent="0.25">
      <c r="D683" s="4" t="str">
        <f>IF(ISNUMBER(MATCH(B683, inventario!$A$2:$A$1001)), _xlfn.XLOOKUP(B683,inventario!$A$2:$A$1001,inventario!$E$2:$E$1001), "")</f>
        <v/>
      </c>
      <c r="E683" s="4" t="str">
        <f>IF(ISNUMBER(MATCH(B683, inventario!$A$2:$A$1001)), C683*_xlfn.XLOOKUP(B683,inventario!$A$2:$A$1001,inventario!$E$2:$E$1001), "")</f>
        <v/>
      </c>
    </row>
    <row r="684" spans="4:5" x14ac:dyDescent="0.25">
      <c r="D684" s="4" t="str">
        <f>IF(ISNUMBER(MATCH(B684, inventario!$A$2:$A$1001)), _xlfn.XLOOKUP(B684,inventario!$A$2:$A$1001,inventario!$E$2:$E$1001), "")</f>
        <v/>
      </c>
      <c r="E684" s="4" t="str">
        <f>IF(ISNUMBER(MATCH(B684, inventario!$A$2:$A$1001)), C684*_xlfn.XLOOKUP(B684,inventario!$A$2:$A$1001,inventario!$E$2:$E$1001), "")</f>
        <v/>
      </c>
    </row>
    <row r="685" spans="4:5" x14ac:dyDescent="0.25">
      <c r="D685" s="4" t="str">
        <f>IF(ISNUMBER(MATCH(B685, inventario!$A$2:$A$1001)), _xlfn.XLOOKUP(B685,inventario!$A$2:$A$1001,inventario!$E$2:$E$1001), "")</f>
        <v/>
      </c>
      <c r="E685" s="4" t="str">
        <f>IF(ISNUMBER(MATCH(B685, inventario!$A$2:$A$1001)), C685*_xlfn.XLOOKUP(B685,inventario!$A$2:$A$1001,inventario!$E$2:$E$1001), "")</f>
        <v/>
      </c>
    </row>
    <row r="686" spans="4:5" x14ac:dyDescent="0.25">
      <c r="D686" s="4" t="str">
        <f>IF(ISNUMBER(MATCH(B686, inventario!$A$2:$A$1001)), _xlfn.XLOOKUP(B686,inventario!$A$2:$A$1001,inventario!$E$2:$E$1001), "")</f>
        <v/>
      </c>
      <c r="E686" s="4" t="str">
        <f>IF(ISNUMBER(MATCH(B686, inventario!$A$2:$A$1001)), C686*_xlfn.XLOOKUP(B686,inventario!$A$2:$A$1001,inventario!$E$2:$E$1001), "")</f>
        <v/>
      </c>
    </row>
    <row r="687" spans="4:5" x14ac:dyDescent="0.25">
      <c r="D687" s="4" t="str">
        <f>IF(ISNUMBER(MATCH(B687, inventario!$A$2:$A$1001)), _xlfn.XLOOKUP(B687,inventario!$A$2:$A$1001,inventario!$E$2:$E$1001), "")</f>
        <v/>
      </c>
      <c r="E687" s="4" t="str">
        <f>IF(ISNUMBER(MATCH(B687, inventario!$A$2:$A$1001)), C687*_xlfn.XLOOKUP(B687,inventario!$A$2:$A$1001,inventario!$E$2:$E$1001), "")</f>
        <v/>
      </c>
    </row>
    <row r="688" spans="4:5" x14ac:dyDescent="0.25">
      <c r="D688" s="4" t="str">
        <f>IF(ISNUMBER(MATCH(B688, inventario!$A$2:$A$1001)), _xlfn.XLOOKUP(B688,inventario!$A$2:$A$1001,inventario!$E$2:$E$1001), "")</f>
        <v/>
      </c>
      <c r="E688" s="4" t="str">
        <f>IF(ISNUMBER(MATCH(B688, inventario!$A$2:$A$1001)), C688*_xlfn.XLOOKUP(B688,inventario!$A$2:$A$1001,inventario!$E$2:$E$1001), "")</f>
        <v/>
      </c>
    </row>
    <row r="689" spans="4:5" x14ac:dyDescent="0.25">
      <c r="D689" s="4" t="str">
        <f>IF(ISNUMBER(MATCH(B689, inventario!$A$2:$A$1001)), _xlfn.XLOOKUP(B689,inventario!$A$2:$A$1001,inventario!$E$2:$E$1001), "")</f>
        <v/>
      </c>
      <c r="E689" s="4" t="str">
        <f>IF(ISNUMBER(MATCH(B689, inventario!$A$2:$A$1001)), C689*_xlfn.XLOOKUP(B689,inventario!$A$2:$A$1001,inventario!$E$2:$E$1001), "")</f>
        <v/>
      </c>
    </row>
    <row r="690" spans="4:5" x14ac:dyDescent="0.25">
      <c r="D690" s="4" t="str">
        <f>IF(ISNUMBER(MATCH(B690, inventario!$A$2:$A$1001)), _xlfn.XLOOKUP(B690,inventario!$A$2:$A$1001,inventario!$E$2:$E$1001), "")</f>
        <v/>
      </c>
      <c r="E690" s="4" t="str">
        <f>IF(ISNUMBER(MATCH(B690, inventario!$A$2:$A$1001)), C690*_xlfn.XLOOKUP(B690,inventario!$A$2:$A$1001,inventario!$E$2:$E$1001), "")</f>
        <v/>
      </c>
    </row>
    <row r="691" spans="4:5" x14ac:dyDescent="0.25">
      <c r="D691" s="4" t="str">
        <f>IF(ISNUMBER(MATCH(B691, inventario!$A$2:$A$1001)), _xlfn.XLOOKUP(B691,inventario!$A$2:$A$1001,inventario!$E$2:$E$1001), "")</f>
        <v/>
      </c>
      <c r="E691" s="4" t="str">
        <f>IF(ISNUMBER(MATCH(B691, inventario!$A$2:$A$1001)), C691*_xlfn.XLOOKUP(B691,inventario!$A$2:$A$1001,inventario!$E$2:$E$1001), "")</f>
        <v/>
      </c>
    </row>
    <row r="692" spans="4:5" x14ac:dyDescent="0.25">
      <c r="D692" s="4" t="str">
        <f>IF(ISNUMBER(MATCH(B692, inventario!$A$2:$A$1001)), _xlfn.XLOOKUP(B692,inventario!$A$2:$A$1001,inventario!$E$2:$E$1001), "")</f>
        <v/>
      </c>
      <c r="E692" s="4" t="str">
        <f>IF(ISNUMBER(MATCH(B692, inventario!$A$2:$A$1001)), C692*_xlfn.XLOOKUP(B692,inventario!$A$2:$A$1001,inventario!$E$2:$E$1001), "")</f>
        <v/>
      </c>
    </row>
    <row r="693" spans="4:5" x14ac:dyDescent="0.25">
      <c r="D693" s="4" t="str">
        <f>IF(ISNUMBER(MATCH(B693, inventario!$A$2:$A$1001)), _xlfn.XLOOKUP(B693,inventario!$A$2:$A$1001,inventario!$E$2:$E$1001), "")</f>
        <v/>
      </c>
      <c r="E693" s="4" t="str">
        <f>IF(ISNUMBER(MATCH(B693, inventario!$A$2:$A$1001)), C693*_xlfn.XLOOKUP(B693,inventario!$A$2:$A$1001,inventario!$E$2:$E$1001), "")</f>
        <v/>
      </c>
    </row>
    <row r="694" spans="4:5" x14ac:dyDescent="0.25">
      <c r="D694" s="4" t="str">
        <f>IF(ISNUMBER(MATCH(B694, inventario!$A$2:$A$1001)), _xlfn.XLOOKUP(B694,inventario!$A$2:$A$1001,inventario!$E$2:$E$1001), "")</f>
        <v/>
      </c>
      <c r="E694" s="4" t="str">
        <f>IF(ISNUMBER(MATCH(B694, inventario!$A$2:$A$1001)), C694*_xlfn.XLOOKUP(B694,inventario!$A$2:$A$1001,inventario!$E$2:$E$1001), "")</f>
        <v/>
      </c>
    </row>
    <row r="695" spans="4:5" x14ac:dyDescent="0.25">
      <c r="D695" s="4" t="str">
        <f>IF(ISNUMBER(MATCH(B695, inventario!$A$2:$A$1001)), _xlfn.XLOOKUP(B695,inventario!$A$2:$A$1001,inventario!$E$2:$E$1001), "")</f>
        <v/>
      </c>
      <c r="E695" s="4" t="str">
        <f>IF(ISNUMBER(MATCH(B695, inventario!$A$2:$A$1001)), C695*_xlfn.XLOOKUP(B695,inventario!$A$2:$A$1001,inventario!$E$2:$E$1001), "")</f>
        <v/>
      </c>
    </row>
    <row r="696" spans="4:5" x14ac:dyDescent="0.25">
      <c r="D696" s="4" t="str">
        <f>IF(ISNUMBER(MATCH(B696, inventario!$A$2:$A$1001)), _xlfn.XLOOKUP(B696,inventario!$A$2:$A$1001,inventario!$E$2:$E$1001), "")</f>
        <v/>
      </c>
      <c r="E696" s="4" t="str">
        <f>IF(ISNUMBER(MATCH(B696, inventario!$A$2:$A$1001)), C696*_xlfn.XLOOKUP(B696,inventario!$A$2:$A$1001,inventario!$E$2:$E$1001), "")</f>
        <v/>
      </c>
    </row>
    <row r="697" spans="4:5" x14ac:dyDescent="0.25">
      <c r="D697" s="4" t="str">
        <f>IF(ISNUMBER(MATCH(B697, inventario!$A$2:$A$1001)), _xlfn.XLOOKUP(B697,inventario!$A$2:$A$1001,inventario!$E$2:$E$1001), "")</f>
        <v/>
      </c>
      <c r="E697" s="4" t="str">
        <f>IF(ISNUMBER(MATCH(B697, inventario!$A$2:$A$1001)), C697*_xlfn.XLOOKUP(B697,inventario!$A$2:$A$1001,inventario!$E$2:$E$1001), "")</f>
        <v/>
      </c>
    </row>
    <row r="698" spans="4:5" x14ac:dyDescent="0.25">
      <c r="D698" s="4" t="str">
        <f>IF(ISNUMBER(MATCH(B698, inventario!$A$2:$A$1001)), _xlfn.XLOOKUP(B698,inventario!$A$2:$A$1001,inventario!$E$2:$E$1001), "")</f>
        <v/>
      </c>
      <c r="E698" s="4" t="str">
        <f>IF(ISNUMBER(MATCH(B698, inventario!$A$2:$A$1001)), C698*_xlfn.XLOOKUP(B698,inventario!$A$2:$A$1001,inventario!$E$2:$E$1001), "")</f>
        <v/>
      </c>
    </row>
    <row r="699" spans="4:5" x14ac:dyDescent="0.25">
      <c r="D699" s="4" t="str">
        <f>IF(ISNUMBER(MATCH(B699, inventario!$A$2:$A$1001)), _xlfn.XLOOKUP(B699,inventario!$A$2:$A$1001,inventario!$E$2:$E$1001), "")</f>
        <v/>
      </c>
      <c r="E699" s="4" t="str">
        <f>IF(ISNUMBER(MATCH(B699, inventario!$A$2:$A$1001)), C699*_xlfn.XLOOKUP(B699,inventario!$A$2:$A$1001,inventario!$E$2:$E$1001), "")</f>
        <v/>
      </c>
    </row>
    <row r="700" spans="4:5" x14ac:dyDescent="0.25">
      <c r="D700" s="4" t="str">
        <f>IF(ISNUMBER(MATCH(B700, inventario!$A$2:$A$1001)), _xlfn.XLOOKUP(B700,inventario!$A$2:$A$1001,inventario!$E$2:$E$1001), "")</f>
        <v/>
      </c>
      <c r="E700" s="4" t="str">
        <f>IF(ISNUMBER(MATCH(B700, inventario!$A$2:$A$1001)), C700*_xlfn.XLOOKUP(B700,inventario!$A$2:$A$1001,inventario!$E$2:$E$1001), "")</f>
        <v/>
      </c>
    </row>
    <row r="701" spans="4:5" x14ac:dyDescent="0.25">
      <c r="D701" s="4" t="str">
        <f>IF(ISNUMBER(MATCH(B701, inventario!$A$2:$A$1001)), _xlfn.XLOOKUP(B701,inventario!$A$2:$A$1001,inventario!$E$2:$E$1001), "")</f>
        <v/>
      </c>
      <c r="E701" s="4" t="str">
        <f>IF(ISNUMBER(MATCH(B701, inventario!$A$2:$A$1001)), C701*_xlfn.XLOOKUP(B701,inventario!$A$2:$A$1001,inventario!$E$2:$E$1001), "")</f>
        <v/>
      </c>
    </row>
    <row r="702" spans="4:5" x14ac:dyDescent="0.25">
      <c r="D702" s="4" t="str">
        <f>IF(ISNUMBER(MATCH(B702, inventario!$A$2:$A$1001)), _xlfn.XLOOKUP(B702,inventario!$A$2:$A$1001,inventario!$E$2:$E$1001), "")</f>
        <v/>
      </c>
      <c r="E702" s="4" t="str">
        <f>IF(ISNUMBER(MATCH(B702, inventario!$A$2:$A$1001)), C702*_xlfn.XLOOKUP(B702,inventario!$A$2:$A$1001,inventario!$E$2:$E$1001), "")</f>
        <v/>
      </c>
    </row>
    <row r="703" spans="4:5" x14ac:dyDescent="0.25">
      <c r="D703" s="4" t="str">
        <f>IF(ISNUMBER(MATCH(B703, inventario!$A$2:$A$1001)), _xlfn.XLOOKUP(B703,inventario!$A$2:$A$1001,inventario!$E$2:$E$1001), "")</f>
        <v/>
      </c>
      <c r="E703" s="4" t="str">
        <f>IF(ISNUMBER(MATCH(B703, inventario!$A$2:$A$1001)), C703*_xlfn.XLOOKUP(B703,inventario!$A$2:$A$1001,inventario!$E$2:$E$1001), "")</f>
        <v/>
      </c>
    </row>
    <row r="704" spans="4:5" x14ac:dyDescent="0.25">
      <c r="D704" s="4" t="str">
        <f>IF(ISNUMBER(MATCH(B704, inventario!$A$2:$A$1001)), _xlfn.XLOOKUP(B704,inventario!$A$2:$A$1001,inventario!$E$2:$E$1001), "")</f>
        <v/>
      </c>
      <c r="E704" s="4" t="str">
        <f>IF(ISNUMBER(MATCH(B704, inventario!$A$2:$A$1001)), C704*_xlfn.XLOOKUP(B704,inventario!$A$2:$A$1001,inventario!$E$2:$E$1001), "")</f>
        <v/>
      </c>
    </row>
    <row r="705" spans="4:5" x14ac:dyDescent="0.25">
      <c r="D705" s="4" t="str">
        <f>IF(ISNUMBER(MATCH(B705, inventario!$A$2:$A$1001)), _xlfn.XLOOKUP(B705,inventario!$A$2:$A$1001,inventario!$E$2:$E$1001), "")</f>
        <v/>
      </c>
      <c r="E705" s="4" t="str">
        <f>IF(ISNUMBER(MATCH(B705, inventario!$A$2:$A$1001)), C705*_xlfn.XLOOKUP(B705,inventario!$A$2:$A$1001,inventario!$E$2:$E$1001), "")</f>
        <v/>
      </c>
    </row>
    <row r="706" spans="4:5" x14ac:dyDescent="0.25">
      <c r="D706" s="4" t="str">
        <f>IF(ISNUMBER(MATCH(B706, inventario!$A$2:$A$1001)), _xlfn.XLOOKUP(B706,inventario!$A$2:$A$1001,inventario!$E$2:$E$1001), "")</f>
        <v/>
      </c>
      <c r="E706" s="4" t="str">
        <f>IF(ISNUMBER(MATCH(B706, inventario!$A$2:$A$1001)), C706*_xlfn.XLOOKUP(B706,inventario!$A$2:$A$1001,inventario!$E$2:$E$1001), "")</f>
        <v/>
      </c>
    </row>
    <row r="707" spans="4:5" x14ac:dyDescent="0.25">
      <c r="D707" s="4" t="str">
        <f>IF(ISNUMBER(MATCH(B707, inventario!$A$2:$A$1001)), _xlfn.XLOOKUP(B707,inventario!$A$2:$A$1001,inventario!$E$2:$E$1001), "")</f>
        <v/>
      </c>
      <c r="E707" s="4" t="str">
        <f>IF(ISNUMBER(MATCH(B707, inventario!$A$2:$A$1001)), C707*_xlfn.XLOOKUP(B707,inventario!$A$2:$A$1001,inventario!$E$2:$E$1001), "")</f>
        <v/>
      </c>
    </row>
    <row r="708" spans="4:5" x14ac:dyDescent="0.25">
      <c r="D708" s="4" t="str">
        <f>IF(ISNUMBER(MATCH(B708, inventario!$A$2:$A$1001)), _xlfn.XLOOKUP(B708,inventario!$A$2:$A$1001,inventario!$E$2:$E$1001), "")</f>
        <v/>
      </c>
      <c r="E708" s="4" t="str">
        <f>IF(ISNUMBER(MATCH(B708, inventario!$A$2:$A$1001)), C708*_xlfn.XLOOKUP(B708,inventario!$A$2:$A$1001,inventario!$E$2:$E$1001), "")</f>
        <v/>
      </c>
    </row>
    <row r="709" spans="4:5" x14ac:dyDescent="0.25">
      <c r="D709" s="4" t="str">
        <f>IF(ISNUMBER(MATCH(B709, inventario!$A$2:$A$1001)), _xlfn.XLOOKUP(B709,inventario!$A$2:$A$1001,inventario!$E$2:$E$1001), "")</f>
        <v/>
      </c>
      <c r="E709" s="4" t="str">
        <f>IF(ISNUMBER(MATCH(B709, inventario!$A$2:$A$1001)), C709*_xlfn.XLOOKUP(B709,inventario!$A$2:$A$1001,inventario!$E$2:$E$1001), "")</f>
        <v/>
      </c>
    </row>
    <row r="710" spans="4:5" x14ac:dyDescent="0.25">
      <c r="D710" s="4" t="str">
        <f>IF(ISNUMBER(MATCH(B710, inventario!$A$2:$A$1001)), _xlfn.XLOOKUP(B710,inventario!$A$2:$A$1001,inventario!$E$2:$E$1001), "")</f>
        <v/>
      </c>
      <c r="E710" s="4" t="str">
        <f>IF(ISNUMBER(MATCH(B710, inventario!$A$2:$A$1001)), C710*_xlfn.XLOOKUP(B710,inventario!$A$2:$A$1001,inventario!$E$2:$E$1001), "")</f>
        <v/>
      </c>
    </row>
    <row r="711" spans="4:5" x14ac:dyDescent="0.25">
      <c r="D711" s="4" t="str">
        <f>IF(ISNUMBER(MATCH(B711, inventario!$A$2:$A$1001)), _xlfn.XLOOKUP(B711,inventario!$A$2:$A$1001,inventario!$E$2:$E$1001), "")</f>
        <v/>
      </c>
      <c r="E711" s="4" t="str">
        <f>IF(ISNUMBER(MATCH(B711, inventario!$A$2:$A$1001)), C711*_xlfn.XLOOKUP(B711,inventario!$A$2:$A$1001,inventario!$E$2:$E$1001), "")</f>
        <v/>
      </c>
    </row>
    <row r="712" spans="4:5" x14ac:dyDescent="0.25">
      <c r="D712" s="4" t="str">
        <f>IF(ISNUMBER(MATCH(B712, inventario!$A$2:$A$1001)), _xlfn.XLOOKUP(B712,inventario!$A$2:$A$1001,inventario!$E$2:$E$1001), "")</f>
        <v/>
      </c>
      <c r="E712" s="4" t="str">
        <f>IF(ISNUMBER(MATCH(B712, inventario!$A$2:$A$1001)), C712*_xlfn.XLOOKUP(B712,inventario!$A$2:$A$1001,inventario!$E$2:$E$1001), "")</f>
        <v/>
      </c>
    </row>
    <row r="713" spans="4:5" x14ac:dyDescent="0.25">
      <c r="D713" s="4" t="str">
        <f>IF(ISNUMBER(MATCH(B713, inventario!$A$2:$A$1001)), _xlfn.XLOOKUP(B713,inventario!$A$2:$A$1001,inventario!$E$2:$E$1001), "")</f>
        <v/>
      </c>
      <c r="E713" s="4" t="str">
        <f>IF(ISNUMBER(MATCH(B713, inventario!$A$2:$A$1001)), C713*_xlfn.XLOOKUP(B713,inventario!$A$2:$A$1001,inventario!$E$2:$E$1001), "")</f>
        <v/>
      </c>
    </row>
    <row r="714" spans="4:5" x14ac:dyDescent="0.25">
      <c r="D714" s="4" t="str">
        <f>IF(ISNUMBER(MATCH(B714, inventario!$A$2:$A$1001)), _xlfn.XLOOKUP(B714,inventario!$A$2:$A$1001,inventario!$E$2:$E$1001), "")</f>
        <v/>
      </c>
      <c r="E714" s="4" t="str">
        <f>IF(ISNUMBER(MATCH(B714, inventario!$A$2:$A$1001)), C714*_xlfn.XLOOKUP(B714,inventario!$A$2:$A$1001,inventario!$E$2:$E$1001), "")</f>
        <v/>
      </c>
    </row>
    <row r="715" spans="4:5" x14ac:dyDescent="0.25">
      <c r="D715" s="4" t="str">
        <f>IF(ISNUMBER(MATCH(B715, inventario!$A$2:$A$1001)), _xlfn.XLOOKUP(B715,inventario!$A$2:$A$1001,inventario!$E$2:$E$1001), "")</f>
        <v/>
      </c>
      <c r="E715" s="4" t="str">
        <f>IF(ISNUMBER(MATCH(B715, inventario!$A$2:$A$1001)), C715*_xlfn.XLOOKUP(B715,inventario!$A$2:$A$1001,inventario!$E$2:$E$1001), "")</f>
        <v/>
      </c>
    </row>
    <row r="716" spans="4:5" x14ac:dyDescent="0.25">
      <c r="D716" s="4" t="str">
        <f>IF(ISNUMBER(MATCH(B716, inventario!$A$2:$A$1001)), _xlfn.XLOOKUP(B716,inventario!$A$2:$A$1001,inventario!$E$2:$E$1001), "")</f>
        <v/>
      </c>
      <c r="E716" s="4" t="str">
        <f>IF(ISNUMBER(MATCH(B716, inventario!$A$2:$A$1001)), C716*_xlfn.XLOOKUP(B716,inventario!$A$2:$A$1001,inventario!$E$2:$E$1001), "")</f>
        <v/>
      </c>
    </row>
    <row r="717" spans="4:5" x14ac:dyDescent="0.25">
      <c r="D717" s="4" t="str">
        <f>IF(ISNUMBER(MATCH(B717, inventario!$A$2:$A$1001)), _xlfn.XLOOKUP(B717,inventario!$A$2:$A$1001,inventario!$E$2:$E$1001), "")</f>
        <v/>
      </c>
      <c r="E717" s="4" t="str">
        <f>IF(ISNUMBER(MATCH(B717, inventario!$A$2:$A$1001)), C717*_xlfn.XLOOKUP(B717,inventario!$A$2:$A$1001,inventario!$E$2:$E$1001), "")</f>
        <v/>
      </c>
    </row>
    <row r="718" spans="4:5" x14ac:dyDescent="0.25">
      <c r="D718" s="4" t="str">
        <f>IF(ISNUMBER(MATCH(B718, inventario!$A$2:$A$1001)), _xlfn.XLOOKUP(B718,inventario!$A$2:$A$1001,inventario!$E$2:$E$1001), "")</f>
        <v/>
      </c>
      <c r="E718" s="4" t="str">
        <f>IF(ISNUMBER(MATCH(B718, inventario!$A$2:$A$1001)), C718*_xlfn.XLOOKUP(B718,inventario!$A$2:$A$1001,inventario!$E$2:$E$1001), "")</f>
        <v/>
      </c>
    </row>
    <row r="719" spans="4:5" x14ac:dyDescent="0.25">
      <c r="D719" s="4" t="str">
        <f>IF(ISNUMBER(MATCH(B719, inventario!$A$2:$A$1001)), _xlfn.XLOOKUP(B719,inventario!$A$2:$A$1001,inventario!$E$2:$E$1001), "")</f>
        <v/>
      </c>
      <c r="E719" s="4" t="str">
        <f>IF(ISNUMBER(MATCH(B719, inventario!$A$2:$A$1001)), C719*_xlfn.XLOOKUP(B719,inventario!$A$2:$A$1001,inventario!$E$2:$E$1001), "")</f>
        <v/>
      </c>
    </row>
    <row r="720" spans="4:5" x14ac:dyDescent="0.25">
      <c r="D720" s="4" t="str">
        <f>IF(ISNUMBER(MATCH(B720, inventario!$A$2:$A$1001)), _xlfn.XLOOKUP(B720,inventario!$A$2:$A$1001,inventario!$E$2:$E$1001), "")</f>
        <v/>
      </c>
      <c r="E720" s="4" t="str">
        <f>IF(ISNUMBER(MATCH(B720, inventario!$A$2:$A$1001)), C720*_xlfn.XLOOKUP(B720,inventario!$A$2:$A$1001,inventario!$E$2:$E$1001), "")</f>
        <v/>
      </c>
    </row>
    <row r="721" spans="4:5" x14ac:dyDescent="0.25">
      <c r="D721" s="4" t="str">
        <f>IF(ISNUMBER(MATCH(B721, inventario!$A$2:$A$1001)), _xlfn.XLOOKUP(B721,inventario!$A$2:$A$1001,inventario!$E$2:$E$1001), "")</f>
        <v/>
      </c>
      <c r="E721" s="4" t="str">
        <f>IF(ISNUMBER(MATCH(B721, inventario!$A$2:$A$1001)), C721*_xlfn.XLOOKUP(B721,inventario!$A$2:$A$1001,inventario!$E$2:$E$1001), "")</f>
        <v/>
      </c>
    </row>
    <row r="722" spans="4:5" x14ac:dyDescent="0.25">
      <c r="D722" s="4" t="str">
        <f>IF(ISNUMBER(MATCH(B722, inventario!$A$2:$A$1001)), _xlfn.XLOOKUP(B722,inventario!$A$2:$A$1001,inventario!$E$2:$E$1001), "")</f>
        <v/>
      </c>
      <c r="E722" s="4" t="str">
        <f>IF(ISNUMBER(MATCH(B722, inventario!$A$2:$A$1001)), C722*_xlfn.XLOOKUP(B722,inventario!$A$2:$A$1001,inventario!$E$2:$E$1001), "")</f>
        <v/>
      </c>
    </row>
    <row r="723" spans="4:5" x14ac:dyDescent="0.25">
      <c r="D723" s="4" t="str">
        <f>IF(ISNUMBER(MATCH(B723, inventario!$A$2:$A$1001)), _xlfn.XLOOKUP(B723,inventario!$A$2:$A$1001,inventario!$E$2:$E$1001), "")</f>
        <v/>
      </c>
      <c r="E723" s="4" t="str">
        <f>IF(ISNUMBER(MATCH(B723, inventario!$A$2:$A$1001)), C723*_xlfn.XLOOKUP(B723,inventario!$A$2:$A$1001,inventario!$E$2:$E$1001), "")</f>
        <v/>
      </c>
    </row>
    <row r="724" spans="4:5" x14ac:dyDescent="0.25">
      <c r="D724" s="4" t="str">
        <f>IF(ISNUMBER(MATCH(B724, inventario!$A$2:$A$1001)), _xlfn.XLOOKUP(B724,inventario!$A$2:$A$1001,inventario!$E$2:$E$1001), "")</f>
        <v/>
      </c>
      <c r="E724" s="4" t="str">
        <f>IF(ISNUMBER(MATCH(B724, inventario!$A$2:$A$1001)), C724*_xlfn.XLOOKUP(B724,inventario!$A$2:$A$1001,inventario!$E$2:$E$1001), "")</f>
        <v/>
      </c>
    </row>
    <row r="725" spans="4:5" x14ac:dyDescent="0.25">
      <c r="D725" s="4" t="str">
        <f>IF(ISNUMBER(MATCH(B725, inventario!$A$2:$A$1001)), _xlfn.XLOOKUP(B725,inventario!$A$2:$A$1001,inventario!$E$2:$E$1001), "")</f>
        <v/>
      </c>
      <c r="E725" s="4" t="str">
        <f>IF(ISNUMBER(MATCH(B725, inventario!$A$2:$A$1001)), C725*_xlfn.XLOOKUP(B725,inventario!$A$2:$A$1001,inventario!$E$2:$E$1001), "")</f>
        <v/>
      </c>
    </row>
    <row r="726" spans="4:5" x14ac:dyDescent="0.25">
      <c r="D726" s="4" t="str">
        <f>IF(ISNUMBER(MATCH(B726, inventario!$A$2:$A$1001)), _xlfn.XLOOKUP(B726,inventario!$A$2:$A$1001,inventario!$E$2:$E$1001), "")</f>
        <v/>
      </c>
      <c r="E726" s="4" t="str">
        <f>IF(ISNUMBER(MATCH(B726, inventario!$A$2:$A$1001)), C726*_xlfn.XLOOKUP(B726,inventario!$A$2:$A$1001,inventario!$E$2:$E$1001), "")</f>
        <v/>
      </c>
    </row>
    <row r="727" spans="4:5" x14ac:dyDescent="0.25">
      <c r="D727" s="4" t="str">
        <f>IF(ISNUMBER(MATCH(B727, inventario!$A$2:$A$1001)), _xlfn.XLOOKUP(B727,inventario!$A$2:$A$1001,inventario!$E$2:$E$1001), "")</f>
        <v/>
      </c>
      <c r="E727" s="4" t="str">
        <f>IF(ISNUMBER(MATCH(B727, inventario!$A$2:$A$1001)), C727*_xlfn.XLOOKUP(B727,inventario!$A$2:$A$1001,inventario!$E$2:$E$1001), "")</f>
        <v/>
      </c>
    </row>
    <row r="728" spans="4:5" x14ac:dyDescent="0.25">
      <c r="D728" s="4" t="str">
        <f>IF(ISNUMBER(MATCH(B728, inventario!$A$2:$A$1001)), _xlfn.XLOOKUP(B728,inventario!$A$2:$A$1001,inventario!$E$2:$E$1001), "")</f>
        <v/>
      </c>
      <c r="E728" s="4" t="str">
        <f>IF(ISNUMBER(MATCH(B728, inventario!$A$2:$A$1001)), C728*_xlfn.XLOOKUP(B728,inventario!$A$2:$A$1001,inventario!$E$2:$E$1001), "")</f>
        <v/>
      </c>
    </row>
    <row r="729" spans="4:5" x14ac:dyDescent="0.25">
      <c r="D729" s="4" t="str">
        <f>IF(ISNUMBER(MATCH(B729, inventario!$A$2:$A$1001)), _xlfn.XLOOKUP(B729,inventario!$A$2:$A$1001,inventario!$E$2:$E$1001), "")</f>
        <v/>
      </c>
      <c r="E729" s="4" t="str">
        <f>IF(ISNUMBER(MATCH(B729, inventario!$A$2:$A$1001)), C729*_xlfn.XLOOKUP(B729,inventario!$A$2:$A$1001,inventario!$E$2:$E$1001), "")</f>
        <v/>
      </c>
    </row>
    <row r="730" spans="4:5" x14ac:dyDescent="0.25">
      <c r="D730" s="4" t="str">
        <f>IF(ISNUMBER(MATCH(B730, inventario!$A$2:$A$1001)), _xlfn.XLOOKUP(B730,inventario!$A$2:$A$1001,inventario!$E$2:$E$1001), "")</f>
        <v/>
      </c>
      <c r="E730" s="4" t="str">
        <f>IF(ISNUMBER(MATCH(B730, inventario!$A$2:$A$1001)), C730*_xlfn.XLOOKUP(B730,inventario!$A$2:$A$1001,inventario!$E$2:$E$1001), "")</f>
        <v/>
      </c>
    </row>
    <row r="731" spans="4:5" x14ac:dyDescent="0.25">
      <c r="D731" s="4" t="str">
        <f>IF(ISNUMBER(MATCH(B731, inventario!$A$2:$A$1001)), _xlfn.XLOOKUP(B731,inventario!$A$2:$A$1001,inventario!$E$2:$E$1001), "")</f>
        <v/>
      </c>
      <c r="E731" s="4" t="str">
        <f>IF(ISNUMBER(MATCH(B731, inventario!$A$2:$A$1001)), C731*_xlfn.XLOOKUP(B731,inventario!$A$2:$A$1001,inventario!$E$2:$E$1001), "")</f>
        <v/>
      </c>
    </row>
    <row r="732" spans="4:5" x14ac:dyDescent="0.25">
      <c r="D732" s="4" t="str">
        <f>IF(ISNUMBER(MATCH(B732, inventario!$A$2:$A$1001)), _xlfn.XLOOKUP(B732,inventario!$A$2:$A$1001,inventario!$E$2:$E$1001), "")</f>
        <v/>
      </c>
      <c r="E732" s="4" t="str">
        <f>IF(ISNUMBER(MATCH(B732, inventario!$A$2:$A$1001)), C732*_xlfn.XLOOKUP(B732,inventario!$A$2:$A$1001,inventario!$E$2:$E$1001), "")</f>
        <v/>
      </c>
    </row>
    <row r="733" spans="4:5" x14ac:dyDescent="0.25">
      <c r="D733" s="4" t="str">
        <f>IF(ISNUMBER(MATCH(B733, inventario!$A$2:$A$1001)), _xlfn.XLOOKUP(B733,inventario!$A$2:$A$1001,inventario!$E$2:$E$1001), "")</f>
        <v/>
      </c>
      <c r="E733" s="4" t="str">
        <f>IF(ISNUMBER(MATCH(B733, inventario!$A$2:$A$1001)), C733*_xlfn.XLOOKUP(B733,inventario!$A$2:$A$1001,inventario!$E$2:$E$1001), "")</f>
        <v/>
      </c>
    </row>
    <row r="734" spans="4:5" x14ac:dyDescent="0.25">
      <c r="D734" s="4" t="str">
        <f>IF(ISNUMBER(MATCH(B734, inventario!$A$2:$A$1001)), _xlfn.XLOOKUP(B734,inventario!$A$2:$A$1001,inventario!$E$2:$E$1001), "")</f>
        <v/>
      </c>
      <c r="E734" s="4" t="str">
        <f>IF(ISNUMBER(MATCH(B734, inventario!$A$2:$A$1001)), C734*_xlfn.XLOOKUP(B734,inventario!$A$2:$A$1001,inventario!$E$2:$E$1001), "")</f>
        <v/>
      </c>
    </row>
    <row r="735" spans="4:5" x14ac:dyDescent="0.25">
      <c r="D735" s="4" t="str">
        <f>IF(ISNUMBER(MATCH(B735, inventario!$A$2:$A$1001)), _xlfn.XLOOKUP(B735,inventario!$A$2:$A$1001,inventario!$E$2:$E$1001), "")</f>
        <v/>
      </c>
      <c r="E735" s="4" t="str">
        <f>IF(ISNUMBER(MATCH(B735, inventario!$A$2:$A$1001)), C735*_xlfn.XLOOKUP(B735,inventario!$A$2:$A$1001,inventario!$E$2:$E$1001), "")</f>
        <v/>
      </c>
    </row>
    <row r="736" spans="4:5" x14ac:dyDescent="0.25">
      <c r="D736" s="4" t="str">
        <f>IF(ISNUMBER(MATCH(B736, inventario!$A$2:$A$1001)), _xlfn.XLOOKUP(B736,inventario!$A$2:$A$1001,inventario!$E$2:$E$1001), "")</f>
        <v/>
      </c>
      <c r="E736" s="4" t="str">
        <f>IF(ISNUMBER(MATCH(B736, inventario!$A$2:$A$1001)), C736*_xlfn.XLOOKUP(B736,inventario!$A$2:$A$1001,inventario!$E$2:$E$1001), "")</f>
        <v/>
      </c>
    </row>
    <row r="737" spans="4:5" x14ac:dyDescent="0.25">
      <c r="D737" s="4" t="str">
        <f>IF(ISNUMBER(MATCH(B737, inventario!$A$2:$A$1001)), _xlfn.XLOOKUP(B737,inventario!$A$2:$A$1001,inventario!$E$2:$E$1001), "")</f>
        <v/>
      </c>
      <c r="E737" s="4" t="str">
        <f>IF(ISNUMBER(MATCH(B737, inventario!$A$2:$A$1001)), C737*_xlfn.XLOOKUP(B737,inventario!$A$2:$A$1001,inventario!$E$2:$E$1001), "")</f>
        <v/>
      </c>
    </row>
    <row r="738" spans="4:5" x14ac:dyDescent="0.25">
      <c r="D738" s="4" t="str">
        <f>IF(ISNUMBER(MATCH(B738, inventario!$A$2:$A$1001)), _xlfn.XLOOKUP(B738,inventario!$A$2:$A$1001,inventario!$E$2:$E$1001), "")</f>
        <v/>
      </c>
      <c r="E738" s="4" t="str">
        <f>IF(ISNUMBER(MATCH(B738, inventario!$A$2:$A$1001)), C738*_xlfn.XLOOKUP(B738,inventario!$A$2:$A$1001,inventario!$E$2:$E$1001), "")</f>
        <v/>
      </c>
    </row>
    <row r="739" spans="4:5" x14ac:dyDescent="0.25">
      <c r="D739" s="4" t="str">
        <f>IF(ISNUMBER(MATCH(B739, inventario!$A$2:$A$1001)), _xlfn.XLOOKUP(B739,inventario!$A$2:$A$1001,inventario!$E$2:$E$1001), "")</f>
        <v/>
      </c>
      <c r="E739" s="4" t="str">
        <f>IF(ISNUMBER(MATCH(B739, inventario!$A$2:$A$1001)), C739*_xlfn.XLOOKUP(B739,inventario!$A$2:$A$1001,inventario!$E$2:$E$1001), "")</f>
        <v/>
      </c>
    </row>
    <row r="740" spans="4:5" x14ac:dyDescent="0.25">
      <c r="D740" s="4" t="str">
        <f>IF(ISNUMBER(MATCH(B740, inventario!$A$2:$A$1001)), _xlfn.XLOOKUP(B740,inventario!$A$2:$A$1001,inventario!$E$2:$E$1001), "")</f>
        <v/>
      </c>
      <c r="E740" s="4" t="str">
        <f>IF(ISNUMBER(MATCH(B740, inventario!$A$2:$A$1001)), C740*_xlfn.XLOOKUP(B740,inventario!$A$2:$A$1001,inventario!$E$2:$E$1001), "")</f>
        <v/>
      </c>
    </row>
    <row r="741" spans="4:5" x14ac:dyDescent="0.25">
      <c r="D741" s="4" t="str">
        <f>IF(ISNUMBER(MATCH(B741, inventario!$A$2:$A$1001)), _xlfn.XLOOKUP(B741,inventario!$A$2:$A$1001,inventario!$E$2:$E$1001), "")</f>
        <v/>
      </c>
      <c r="E741" s="4" t="str">
        <f>IF(ISNUMBER(MATCH(B741, inventario!$A$2:$A$1001)), C741*_xlfn.XLOOKUP(B741,inventario!$A$2:$A$1001,inventario!$E$2:$E$1001), "")</f>
        <v/>
      </c>
    </row>
    <row r="742" spans="4:5" x14ac:dyDescent="0.25">
      <c r="D742" s="4" t="str">
        <f>IF(ISNUMBER(MATCH(B742, inventario!$A$2:$A$1001)), _xlfn.XLOOKUP(B742,inventario!$A$2:$A$1001,inventario!$E$2:$E$1001), "")</f>
        <v/>
      </c>
      <c r="E742" s="4" t="str">
        <f>IF(ISNUMBER(MATCH(B742, inventario!$A$2:$A$1001)), C742*_xlfn.XLOOKUP(B742,inventario!$A$2:$A$1001,inventario!$E$2:$E$1001), "")</f>
        <v/>
      </c>
    </row>
    <row r="743" spans="4:5" x14ac:dyDescent="0.25">
      <c r="D743" s="4" t="str">
        <f>IF(ISNUMBER(MATCH(B743, inventario!$A$2:$A$1001)), _xlfn.XLOOKUP(B743,inventario!$A$2:$A$1001,inventario!$E$2:$E$1001), "")</f>
        <v/>
      </c>
      <c r="E743" s="4" t="str">
        <f>IF(ISNUMBER(MATCH(B743, inventario!$A$2:$A$1001)), C743*_xlfn.XLOOKUP(B743,inventario!$A$2:$A$1001,inventario!$E$2:$E$1001), "")</f>
        <v/>
      </c>
    </row>
    <row r="744" spans="4:5" x14ac:dyDescent="0.25">
      <c r="D744" s="4" t="str">
        <f>IF(ISNUMBER(MATCH(B744, inventario!$A$2:$A$1001)), _xlfn.XLOOKUP(B744,inventario!$A$2:$A$1001,inventario!$E$2:$E$1001), "")</f>
        <v/>
      </c>
      <c r="E744" s="4" t="str">
        <f>IF(ISNUMBER(MATCH(B744, inventario!$A$2:$A$1001)), C744*_xlfn.XLOOKUP(B744,inventario!$A$2:$A$1001,inventario!$E$2:$E$1001), "")</f>
        <v/>
      </c>
    </row>
    <row r="745" spans="4:5" x14ac:dyDescent="0.25">
      <c r="D745" s="4" t="str">
        <f>IF(ISNUMBER(MATCH(B745, inventario!$A$2:$A$1001)), _xlfn.XLOOKUP(B745,inventario!$A$2:$A$1001,inventario!$E$2:$E$1001), "")</f>
        <v/>
      </c>
      <c r="E745" s="4" t="str">
        <f>IF(ISNUMBER(MATCH(B745, inventario!$A$2:$A$1001)), C745*_xlfn.XLOOKUP(B745,inventario!$A$2:$A$1001,inventario!$E$2:$E$1001), "")</f>
        <v/>
      </c>
    </row>
    <row r="746" spans="4:5" x14ac:dyDescent="0.25">
      <c r="D746" s="4" t="str">
        <f>IF(ISNUMBER(MATCH(B746, inventario!$A$2:$A$1001)), _xlfn.XLOOKUP(B746,inventario!$A$2:$A$1001,inventario!$E$2:$E$1001), "")</f>
        <v/>
      </c>
      <c r="E746" s="4" t="str">
        <f>IF(ISNUMBER(MATCH(B746, inventario!$A$2:$A$1001)), C746*_xlfn.XLOOKUP(B746,inventario!$A$2:$A$1001,inventario!$E$2:$E$1001), "")</f>
        <v/>
      </c>
    </row>
    <row r="747" spans="4:5" x14ac:dyDescent="0.25">
      <c r="D747" s="4" t="str">
        <f>IF(ISNUMBER(MATCH(B747, inventario!$A$2:$A$1001)), _xlfn.XLOOKUP(B747,inventario!$A$2:$A$1001,inventario!$E$2:$E$1001), "")</f>
        <v/>
      </c>
      <c r="E747" s="4" t="str">
        <f>IF(ISNUMBER(MATCH(B747, inventario!$A$2:$A$1001)), C747*_xlfn.XLOOKUP(B747,inventario!$A$2:$A$1001,inventario!$E$2:$E$1001), "")</f>
        <v/>
      </c>
    </row>
    <row r="748" spans="4:5" x14ac:dyDescent="0.25">
      <c r="D748" s="4" t="str">
        <f>IF(ISNUMBER(MATCH(B748, inventario!$A$2:$A$1001)), _xlfn.XLOOKUP(B748,inventario!$A$2:$A$1001,inventario!$E$2:$E$1001), "")</f>
        <v/>
      </c>
      <c r="E748" s="4" t="str">
        <f>IF(ISNUMBER(MATCH(B748, inventario!$A$2:$A$1001)), C748*_xlfn.XLOOKUP(B748,inventario!$A$2:$A$1001,inventario!$E$2:$E$1001), "")</f>
        <v/>
      </c>
    </row>
    <row r="749" spans="4:5" x14ac:dyDescent="0.25">
      <c r="D749" s="4" t="str">
        <f>IF(ISNUMBER(MATCH(B749, inventario!$A$2:$A$1001)), _xlfn.XLOOKUP(B749,inventario!$A$2:$A$1001,inventario!$E$2:$E$1001), "")</f>
        <v/>
      </c>
      <c r="E749" s="4" t="str">
        <f>IF(ISNUMBER(MATCH(B749, inventario!$A$2:$A$1001)), C749*_xlfn.XLOOKUP(B749,inventario!$A$2:$A$1001,inventario!$E$2:$E$1001), "")</f>
        <v/>
      </c>
    </row>
    <row r="750" spans="4:5" x14ac:dyDescent="0.25">
      <c r="D750" s="4" t="str">
        <f>IF(ISNUMBER(MATCH(B750, inventario!$A$2:$A$1001)), _xlfn.XLOOKUP(B750,inventario!$A$2:$A$1001,inventario!$E$2:$E$1001), "")</f>
        <v/>
      </c>
      <c r="E750" s="4" t="str">
        <f>IF(ISNUMBER(MATCH(B750, inventario!$A$2:$A$1001)), C750*_xlfn.XLOOKUP(B750,inventario!$A$2:$A$1001,inventario!$E$2:$E$1001), "")</f>
        <v/>
      </c>
    </row>
    <row r="751" spans="4:5" x14ac:dyDescent="0.25">
      <c r="D751" s="4" t="str">
        <f>IF(ISNUMBER(MATCH(B751, inventario!$A$2:$A$1001)), _xlfn.XLOOKUP(B751,inventario!$A$2:$A$1001,inventario!$E$2:$E$1001), "")</f>
        <v/>
      </c>
      <c r="E751" s="4" t="str">
        <f>IF(ISNUMBER(MATCH(B751, inventario!$A$2:$A$1001)), C751*_xlfn.XLOOKUP(B751,inventario!$A$2:$A$1001,inventario!$E$2:$E$1001), "")</f>
        <v/>
      </c>
    </row>
    <row r="752" spans="4:5" x14ac:dyDescent="0.25">
      <c r="D752" s="4" t="str">
        <f>IF(ISNUMBER(MATCH(B752, inventario!$A$2:$A$1001)), _xlfn.XLOOKUP(B752,inventario!$A$2:$A$1001,inventario!$E$2:$E$1001), "")</f>
        <v/>
      </c>
      <c r="E752" s="4" t="str">
        <f>IF(ISNUMBER(MATCH(B752, inventario!$A$2:$A$1001)), C752*_xlfn.XLOOKUP(B752,inventario!$A$2:$A$1001,inventario!$E$2:$E$1001), "")</f>
        <v/>
      </c>
    </row>
    <row r="753" spans="4:5" x14ac:dyDescent="0.25">
      <c r="D753" s="4" t="str">
        <f>IF(ISNUMBER(MATCH(B753, inventario!$A$2:$A$1001)), _xlfn.XLOOKUP(B753,inventario!$A$2:$A$1001,inventario!$E$2:$E$1001), "")</f>
        <v/>
      </c>
      <c r="E753" s="4" t="str">
        <f>IF(ISNUMBER(MATCH(B753, inventario!$A$2:$A$1001)), C753*_xlfn.XLOOKUP(B753,inventario!$A$2:$A$1001,inventario!$E$2:$E$1001), "")</f>
        <v/>
      </c>
    </row>
    <row r="754" spans="4:5" x14ac:dyDescent="0.25">
      <c r="D754" s="4" t="str">
        <f>IF(ISNUMBER(MATCH(B754, inventario!$A$2:$A$1001)), _xlfn.XLOOKUP(B754,inventario!$A$2:$A$1001,inventario!$E$2:$E$1001), "")</f>
        <v/>
      </c>
      <c r="E754" s="4" t="str">
        <f>IF(ISNUMBER(MATCH(B754, inventario!$A$2:$A$1001)), C754*_xlfn.XLOOKUP(B754,inventario!$A$2:$A$1001,inventario!$E$2:$E$1001), "")</f>
        <v/>
      </c>
    </row>
    <row r="755" spans="4:5" x14ac:dyDescent="0.25">
      <c r="D755" s="4" t="str">
        <f>IF(ISNUMBER(MATCH(B755, inventario!$A$2:$A$1001)), _xlfn.XLOOKUP(B755,inventario!$A$2:$A$1001,inventario!$E$2:$E$1001), "")</f>
        <v/>
      </c>
      <c r="E755" s="4" t="str">
        <f>IF(ISNUMBER(MATCH(B755, inventario!$A$2:$A$1001)), C755*_xlfn.XLOOKUP(B755,inventario!$A$2:$A$1001,inventario!$E$2:$E$1001), "")</f>
        <v/>
      </c>
    </row>
    <row r="756" spans="4:5" x14ac:dyDescent="0.25">
      <c r="D756" s="4" t="str">
        <f>IF(ISNUMBER(MATCH(B756, inventario!$A$2:$A$1001)), _xlfn.XLOOKUP(B756,inventario!$A$2:$A$1001,inventario!$E$2:$E$1001), "")</f>
        <v/>
      </c>
      <c r="E756" s="4" t="str">
        <f>IF(ISNUMBER(MATCH(B756, inventario!$A$2:$A$1001)), C756*_xlfn.XLOOKUP(B756,inventario!$A$2:$A$1001,inventario!$E$2:$E$1001), "")</f>
        <v/>
      </c>
    </row>
    <row r="757" spans="4:5" x14ac:dyDescent="0.25">
      <c r="D757" s="4" t="str">
        <f>IF(ISNUMBER(MATCH(B757, inventario!$A$2:$A$1001)), _xlfn.XLOOKUP(B757,inventario!$A$2:$A$1001,inventario!$E$2:$E$1001), "")</f>
        <v/>
      </c>
      <c r="E757" s="4" t="str">
        <f>IF(ISNUMBER(MATCH(B757, inventario!$A$2:$A$1001)), C757*_xlfn.XLOOKUP(B757,inventario!$A$2:$A$1001,inventario!$E$2:$E$1001), "")</f>
        <v/>
      </c>
    </row>
    <row r="758" spans="4:5" x14ac:dyDescent="0.25">
      <c r="D758" s="4" t="str">
        <f>IF(ISNUMBER(MATCH(B758, inventario!$A$2:$A$1001)), _xlfn.XLOOKUP(B758,inventario!$A$2:$A$1001,inventario!$E$2:$E$1001), "")</f>
        <v/>
      </c>
      <c r="E758" s="4" t="str">
        <f>IF(ISNUMBER(MATCH(B758, inventario!$A$2:$A$1001)), C758*_xlfn.XLOOKUP(B758,inventario!$A$2:$A$1001,inventario!$E$2:$E$1001), "")</f>
        <v/>
      </c>
    </row>
    <row r="759" spans="4:5" x14ac:dyDescent="0.25">
      <c r="D759" s="4" t="str">
        <f>IF(ISNUMBER(MATCH(B759, inventario!$A$2:$A$1001)), _xlfn.XLOOKUP(B759,inventario!$A$2:$A$1001,inventario!$E$2:$E$1001), "")</f>
        <v/>
      </c>
      <c r="E759" s="4" t="str">
        <f>IF(ISNUMBER(MATCH(B759, inventario!$A$2:$A$1001)), C759*_xlfn.XLOOKUP(B759,inventario!$A$2:$A$1001,inventario!$E$2:$E$1001), "")</f>
        <v/>
      </c>
    </row>
    <row r="760" spans="4:5" x14ac:dyDescent="0.25">
      <c r="D760" s="4" t="str">
        <f>IF(ISNUMBER(MATCH(B760, inventario!$A$2:$A$1001)), _xlfn.XLOOKUP(B760,inventario!$A$2:$A$1001,inventario!$E$2:$E$1001), "")</f>
        <v/>
      </c>
      <c r="E760" s="4" t="str">
        <f>IF(ISNUMBER(MATCH(B760, inventario!$A$2:$A$1001)), C760*_xlfn.XLOOKUP(B760,inventario!$A$2:$A$1001,inventario!$E$2:$E$1001), "")</f>
        <v/>
      </c>
    </row>
    <row r="761" spans="4:5" x14ac:dyDescent="0.25">
      <c r="D761" s="4" t="str">
        <f>IF(ISNUMBER(MATCH(B761, inventario!$A$2:$A$1001)), _xlfn.XLOOKUP(B761,inventario!$A$2:$A$1001,inventario!$E$2:$E$1001), "")</f>
        <v/>
      </c>
      <c r="E761" s="4" t="str">
        <f>IF(ISNUMBER(MATCH(B761, inventario!$A$2:$A$1001)), C761*_xlfn.XLOOKUP(B761,inventario!$A$2:$A$1001,inventario!$E$2:$E$1001), "")</f>
        <v/>
      </c>
    </row>
    <row r="762" spans="4:5" x14ac:dyDescent="0.25">
      <c r="D762" s="4" t="str">
        <f>IF(ISNUMBER(MATCH(B762, inventario!$A$2:$A$1001)), _xlfn.XLOOKUP(B762,inventario!$A$2:$A$1001,inventario!$E$2:$E$1001), "")</f>
        <v/>
      </c>
      <c r="E762" s="4" t="str">
        <f>IF(ISNUMBER(MATCH(B762, inventario!$A$2:$A$1001)), C762*_xlfn.XLOOKUP(B762,inventario!$A$2:$A$1001,inventario!$E$2:$E$1001), "")</f>
        <v/>
      </c>
    </row>
    <row r="763" spans="4:5" x14ac:dyDescent="0.25">
      <c r="D763" s="4" t="str">
        <f>IF(ISNUMBER(MATCH(B763, inventario!$A$2:$A$1001)), _xlfn.XLOOKUP(B763,inventario!$A$2:$A$1001,inventario!$E$2:$E$1001), "")</f>
        <v/>
      </c>
      <c r="E763" s="4" t="str">
        <f>IF(ISNUMBER(MATCH(B763, inventario!$A$2:$A$1001)), C763*_xlfn.XLOOKUP(B763,inventario!$A$2:$A$1001,inventario!$E$2:$E$1001), "")</f>
        <v/>
      </c>
    </row>
    <row r="764" spans="4:5" x14ac:dyDescent="0.25">
      <c r="D764" s="4" t="str">
        <f>IF(ISNUMBER(MATCH(B764, inventario!$A$2:$A$1001)), _xlfn.XLOOKUP(B764,inventario!$A$2:$A$1001,inventario!$E$2:$E$1001), "")</f>
        <v/>
      </c>
      <c r="E764" s="4" t="str">
        <f>IF(ISNUMBER(MATCH(B764, inventario!$A$2:$A$1001)), C764*_xlfn.XLOOKUP(B764,inventario!$A$2:$A$1001,inventario!$E$2:$E$1001), "")</f>
        <v/>
      </c>
    </row>
    <row r="765" spans="4:5" x14ac:dyDescent="0.25">
      <c r="D765" s="4" t="str">
        <f>IF(ISNUMBER(MATCH(B765, inventario!$A$2:$A$1001)), _xlfn.XLOOKUP(B765,inventario!$A$2:$A$1001,inventario!$E$2:$E$1001), "")</f>
        <v/>
      </c>
      <c r="E765" s="4" t="str">
        <f>IF(ISNUMBER(MATCH(B765, inventario!$A$2:$A$1001)), C765*_xlfn.XLOOKUP(B765,inventario!$A$2:$A$1001,inventario!$E$2:$E$1001), "")</f>
        <v/>
      </c>
    </row>
    <row r="766" spans="4:5" x14ac:dyDescent="0.25">
      <c r="D766" s="4" t="str">
        <f>IF(ISNUMBER(MATCH(B766, inventario!$A$2:$A$1001)), _xlfn.XLOOKUP(B766,inventario!$A$2:$A$1001,inventario!$E$2:$E$1001), "")</f>
        <v/>
      </c>
      <c r="E766" s="4" t="str">
        <f>IF(ISNUMBER(MATCH(B766, inventario!$A$2:$A$1001)), C766*_xlfn.XLOOKUP(B766,inventario!$A$2:$A$1001,inventario!$E$2:$E$1001), "")</f>
        <v/>
      </c>
    </row>
    <row r="767" spans="4:5" x14ac:dyDescent="0.25">
      <c r="D767" s="4" t="str">
        <f>IF(ISNUMBER(MATCH(B767, inventario!$A$2:$A$1001)), _xlfn.XLOOKUP(B767,inventario!$A$2:$A$1001,inventario!$E$2:$E$1001), "")</f>
        <v/>
      </c>
      <c r="E767" s="4" t="str">
        <f>IF(ISNUMBER(MATCH(B767, inventario!$A$2:$A$1001)), C767*_xlfn.XLOOKUP(B767,inventario!$A$2:$A$1001,inventario!$E$2:$E$1001), "")</f>
        <v/>
      </c>
    </row>
    <row r="768" spans="4:5" x14ac:dyDescent="0.25">
      <c r="D768" s="4" t="str">
        <f>IF(ISNUMBER(MATCH(B768, inventario!$A$2:$A$1001)), _xlfn.XLOOKUP(B768,inventario!$A$2:$A$1001,inventario!$E$2:$E$1001), "")</f>
        <v/>
      </c>
      <c r="E768" s="4" t="str">
        <f>IF(ISNUMBER(MATCH(B768, inventario!$A$2:$A$1001)), C768*_xlfn.XLOOKUP(B768,inventario!$A$2:$A$1001,inventario!$E$2:$E$1001), "")</f>
        <v/>
      </c>
    </row>
    <row r="769" spans="4:5" x14ac:dyDescent="0.25">
      <c r="D769" s="4" t="str">
        <f>IF(ISNUMBER(MATCH(B769, inventario!$A$2:$A$1001)), _xlfn.XLOOKUP(B769,inventario!$A$2:$A$1001,inventario!$E$2:$E$1001), "")</f>
        <v/>
      </c>
      <c r="E769" s="4" t="str">
        <f>IF(ISNUMBER(MATCH(B769, inventario!$A$2:$A$1001)), C769*_xlfn.XLOOKUP(B769,inventario!$A$2:$A$1001,inventario!$E$2:$E$1001), "")</f>
        <v/>
      </c>
    </row>
    <row r="770" spans="4:5" x14ac:dyDescent="0.25">
      <c r="D770" s="4" t="str">
        <f>IF(ISNUMBER(MATCH(B770, inventario!$A$2:$A$1001)), _xlfn.XLOOKUP(B770,inventario!$A$2:$A$1001,inventario!$E$2:$E$1001), "")</f>
        <v/>
      </c>
      <c r="E770" s="4" t="str">
        <f>IF(ISNUMBER(MATCH(B770, inventario!$A$2:$A$1001)), C770*_xlfn.XLOOKUP(B770,inventario!$A$2:$A$1001,inventario!$E$2:$E$1001), "")</f>
        <v/>
      </c>
    </row>
    <row r="771" spans="4:5" x14ac:dyDescent="0.25">
      <c r="D771" s="4" t="str">
        <f>IF(ISNUMBER(MATCH(B771, inventario!$A$2:$A$1001)), _xlfn.XLOOKUP(B771,inventario!$A$2:$A$1001,inventario!$E$2:$E$1001), "")</f>
        <v/>
      </c>
      <c r="E771" s="4" t="str">
        <f>IF(ISNUMBER(MATCH(B771, inventario!$A$2:$A$1001)), C771*_xlfn.XLOOKUP(B771,inventario!$A$2:$A$1001,inventario!$E$2:$E$1001), "")</f>
        <v/>
      </c>
    </row>
    <row r="772" spans="4:5" x14ac:dyDescent="0.25">
      <c r="D772" s="4" t="str">
        <f>IF(ISNUMBER(MATCH(B772, inventario!$A$2:$A$1001)), _xlfn.XLOOKUP(B772,inventario!$A$2:$A$1001,inventario!$E$2:$E$1001), "")</f>
        <v/>
      </c>
      <c r="E772" s="4" t="str">
        <f>IF(ISNUMBER(MATCH(B772, inventario!$A$2:$A$1001)), C772*_xlfn.XLOOKUP(B772,inventario!$A$2:$A$1001,inventario!$E$2:$E$1001), "")</f>
        <v/>
      </c>
    </row>
    <row r="773" spans="4:5" x14ac:dyDescent="0.25">
      <c r="D773" s="4" t="str">
        <f>IF(ISNUMBER(MATCH(B773, inventario!$A$2:$A$1001)), _xlfn.XLOOKUP(B773,inventario!$A$2:$A$1001,inventario!$E$2:$E$1001), "")</f>
        <v/>
      </c>
      <c r="E773" s="4" t="str">
        <f>IF(ISNUMBER(MATCH(B773, inventario!$A$2:$A$1001)), C773*_xlfn.XLOOKUP(B773,inventario!$A$2:$A$1001,inventario!$E$2:$E$1001), "")</f>
        <v/>
      </c>
    </row>
    <row r="774" spans="4:5" x14ac:dyDescent="0.25">
      <c r="D774" s="4" t="str">
        <f>IF(ISNUMBER(MATCH(B774, inventario!$A$2:$A$1001)), _xlfn.XLOOKUP(B774,inventario!$A$2:$A$1001,inventario!$E$2:$E$1001), "")</f>
        <v/>
      </c>
      <c r="E774" s="4" t="str">
        <f>IF(ISNUMBER(MATCH(B774, inventario!$A$2:$A$1001)), C774*_xlfn.XLOOKUP(B774,inventario!$A$2:$A$1001,inventario!$E$2:$E$1001), "")</f>
        <v/>
      </c>
    </row>
    <row r="775" spans="4:5" x14ac:dyDescent="0.25">
      <c r="D775" s="4" t="str">
        <f>IF(ISNUMBER(MATCH(B775, inventario!$A$2:$A$1001)), _xlfn.XLOOKUP(B775,inventario!$A$2:$A$1001,inventario!$E$2:$E$1001), "")</f>
        <v/>
      </c>
      <c r="E775" s="4" t="str">
        <f>IF(ISNUMBER(MATCH(B775, inventario!$A$2:$A$1001)), C775*_xlfn.XLOOKUP(B775,inventario!$A$2:$A$1001,inventario!$E$2:$E$1001), "")</f>
        <v/>
      </c>
    </row>
    <row r="776" spans="4:5" x14ac:dyDescent="0.25">
      <c r="D776" s="4" t="str">
        <f>IF(ISNUMBER(MATCH(B776, inventario!$A$2:$A$1001)), _xlfn.XLOOKUP(B776,inventario!$A$2:$A$1001,inventario!$E$2:$E$1001), "")</f>
        <v/>
      </c>
      <c r="E776" s="4" t="str">
        <f>IF(ISNUMBER(MATCH(B776, inventario!$A$2:$A$1001)), C776*_xlfn.XLOOKUP(B776,inventario!$A$2:$A$1001,inventario!$E$2:$E$1001), "")</f>
        <v/>
      </c>
    </row>
    <row r="777" spans="4:5" x14ac:dyDescent="0.25">
      <c r="D777" s="4" t="str">
        <f>IF(ISNUMBER(MATCH(B777, inventario!$A$2:$A$1001)), _xlfn.XLOOKUP(B777,inventario!$A$2:$A$1001,inventario!$E$2:$E$1001), "")</f>
        <v/>
      </c>
      <c r="E777" s="4" t="str">
        <f>IF(ISNUMBER(MATCH(B777, inventario!$A$2:$A$1001)), C777*_xlfn.XLOOKUP(B777,inventario!$A$2:$A$1001,inventario!$E$2:$E$1001), "")</f>
        <v/>
      </c>
    </row>
    <row r="778" spans="4:5" x14ac:dyDescent="0.25">
      <c r="D778" s="4" t="str">
        <f>IF(ISNUMBER(MATCH(B778, inventario!$A$2:$A$1001)), _xlfn.XLOOKUP(B778,inventario!$A$2:$A$1001,inventario!$E$2:$E$1001), "")</f>
        <v/>
      </c>
      <c r="E778" s="4" t="str">
        <f>IF(ISNUMBER(MATCH(B778, inventario!$A$2:$A$1001)), C778*_xlfn.XLOOKUP(B778,inventario!$A$2:$A$1001,inventario!$E$2:$E$1001), "")</f>
        <v/>
      </c>
    </row>
    <row r="779" spans="4:5" x14ac:dyDescent="0.25">
      <c r="D779" s="4" t="str">
        <f>IF(ISNUMBER(MATCH(B779, inventario!$A$2:$A$1001)), _xlfn.XLOOKUP(B779,inventario!$A$2:$A$1001,inventario!$E$2:$E$1001), "")</f>
        <v/>
      </c>
      <c r="E779" s="4" t="str">
        <f>IF(ISNUMBER(MATCH(B779, inventario!$A$2:$A$1001)), C779*_xlfn.XLOOKUP(B779,inventario!$A$2:$A$1001,inventario!$E$2:$E$1001), "")</f>
        <v/>
      </c>
    </row>
    <row r="780" spans="4:5" x14ac:dyDescent="0.25">
      <c r="D780" s="4" t="str">
        <f>IF(ISNUMBER(MATCH(B780, inventario!$A$2:$A$1001)), _xlfn.XLOOKUP(B780,inventario!$A$2:$A$1001,inventario!$E$2:$E$1001), "")</f>
        <v/>
      </c>
      <c r="E780" s="4" t="str">
        <f>IF(ISNUMBER(MATCH(B780, inventario!$A$2:$A$1001)), C780*_xlfn.XLOOKUP(B780,inventario!$A$2:$A$1001,inventario!$E$2:$E$1001), "")</f>
        <v/>
      </c>
    </row>
    <row r="781" spans="4:5" x14ac:dyDescent="0.25">
      <c r="D781" s="4" t="str">
        <f>IF(ISNUMBER(MATCH(B781, inventario!$A$2:$A$1001)), _xlfn.XLOOKUP(B781,inventario!$A$2:$A$1001,inventario!$E$2:$E$1001), "")</f>
        <v/>
      </c>
      <c r="E781" s="4" t="str">
        <f>IF(ISNUMBER(MATCH(B781, inventario!$A$2:$A$1001)), C781*_xlfn.XLOOKUP(B781,inventario!$A$2:$A$1001,inventario!$E$2:$E$1001), "")</f>
        <v/>
      </c>
    </row>
    <row r="782" spans="4:5" x14ac:dyDescent="0.25">
      <c r="D782" s="4" t="str">
        <f>IF(ISNUMBER(MATCH(B782, inventario!$A$2:$A$1001)), _xlfn.XLOOKUP(B782,inventario!$A$2:$A$1001,inventario!$E$2:$E$1001), "")</f>
        <v/>
      </c>
      <c r="E782" s="4" t="str">
        <f>IF(ISNUMBER(MATCH(B782, inventario!$A$2:$A$1001)), C782*_xlfn.XLOOKUP(B782,inventario!$A$2:$A$1001,inventario!$E$2:$E$1001), "")</f>
        <v/>
      </c>
    </row>
    <row r="783" spans="4:5" x14ac:dyDescent="0.25">
      <c r="D783" s="4" t="str">
        <f>IF(ISNUMBER(MATCH(B783, inventario!$A$2:$A$1001)), _xlfn.XLOOKUP(B783,inventario!$A$2:$A$1001,inventario!$E$2:$E$1001), "")</f>
        <v/>
      </c>
      <c r="E783" s="4" t="str">
        <f>IF(ISNUMBER(MATCH(B783, inventario!$A$2:$A$1001)), C783*_xlfn.XLOOKUP(B783,inventario!$A$2:$A$1001,inventario!$E$2:$E$1001), "")</f>
        <v/>
      </c>
    </row>
    <row r="784" spans="4:5" x14ac:dyDescent="0.25">
      <c r="D784" s="4" t="str">
        <f>IF(ISNUMBER(MATCH(B784, inventario!$A$2:$A$1001)), _xlfn.XLOOKUP(B784,inventario!$A$2:$A$1001,inventario!$E$2:$E$1001), "")</f>
        <v/>
      </c>
      <c r="E784" s="4" t="str">
        <f>IF(ISNUMBER(MATCH(B784, inventario!$A$2:$A$1001)), C784*_xlfn.XLOOKUP(B784,inventario!$A$2:$A$1001,inventario!$E$2:$E$1001), "")</f>
        <v/>
      </c>
    </row>
    <row r="785" spans="4:5" x14ac:dyDescent="0.25">
      <c r="D785" s="4" t="str">
        <f>IF(ISNUMBER(MATCH(B785, inventario!$A$2:$A$1001)), _xlfn.XLOOKUP(B785,inventario!$A$2:$A$1001,inventario!$E$2:$E$1001), "")</f>
        <v/>
      </c>
      <c r="E785" s="4" t="str">
        <f>IF(ISNUMBER(MATCH(B785, inventario!$A$2:$A$1001)), C785*_xlfn.XLOOKUP(B785,inventario!$A$2:$A$1001,inventario!$E$2:$E$1001), "")</f>
        <v/>
      </c>
    </row>
    <row r="786" spans="4:5" x14ac:dyDescent="0.25">
      <c r="D786" s="4" t="str">
        <f>IF(ISNUMBER(MATCH(B786, inventario!$A$2:$A$1001)), _xlfn.XLOOKUP(B786,inventario!$A$2:$A$1001,inventario!$E$2:$E$1001), "")</f>
        <v/>
      </c>
      <c r="E786" s="4" t="str">
        <f>IF(ISNUMBER(MATCH(B786, inventario!$A$2:$A$1001)), C786*_xlfn.XLOOKUP(B786,inventario!$A$2:$A$1001,inventario!$E$2:$E$1001), "")</f>
        <v/>
      </c>
    </row>
    <row r="787" spans="4:5" x14ac:dyDescent="0.25">
      <c r="D787" s="4" t="str">
        <f>IF(ISNUMBER(MATCH(B787, inventario!$A$2:$A$1001)), _xlfn.XLOOKUP(B787,inventario!$A$2:$A$1001,inventario!$E$2:$E$1001), "")</f>
        <v/>
      </c>
      <c r="E787" s="4" t="str">
        <f>IF(ISNUMBER(MATCH(B787, inventario!$A$2:$A$1001)), C787*_xlfn.XLOOKUP(B787,inventario!$A$2:$A$1001,inventario!$E$2:$E$1001), "")</f>
        <v/>
      </c>
    </row>
    <row r="788" spans="4:5" x14ac:dyDescent="0.25">
      <c r="D788" s="4" t="str">
        <f>IF(ISNUMBER(MATCH(B788, inventario!$A$2:$A$1001)), _xlfn.XLOOKUP(B788,inventario!$A$2:$A$1001,inventario!$E$2:$E$1001), "")</f>
        <v/>
      </c>
      <c r="E788" s="4" t="str">
        <f>IF(ISNUMBER(MATCH(B788, inventario!$A$2:$A$1001)), C788*_xlfn.XLOOKUP(B788,inventario!$A$2:$A$1001,inventario!$E$2:$E$1001), "")</f>
        <v/>
      </c>
    </row>
    <row r="789" spans="4:5" x14ac:dyDescent="0.25">
      <c r="D789" s="4" t="str">
        <f>IF(ISNUMBER(MATCH(B789, inventario!$A$2:$A$1001)), _xlfn.XLOOKUP(B789,inventario!$A$2:$A$1001,inventario!$E$2:$E$1001), "")</f>
        <v/>
      </c>
      <c r="E789" s="4" t="str">
        <f>IF(ISNUMBER(MATCH(B789, inventario!$A$2:$A$1001)), C789*_xlfn.XLOOKUP(B789,inventario!$A$2:$A$1001,inventario!$E$2:$E$1001), "")</f>
        <v/>
      </c>
    </row>
    <row r="790" spans="4:5" x14ac:dyDescent="0.25">
      <c r="D790" s="4" t="str">
        <f>IF(ISNUMBER(MATCH(B790, inventario!$A$2:$A$1001)), _xlfn.XLOOKUP(B790,inventario!$A$2:$A$1001,inventario!$E$2:$E$1001), "")</f>
        <v/>
      </c>
      <c r="E790" s="4" t="str">
        <f>IF(ISNUMBER(MATCH(B790, inventario!$A$2:$A$1001)), C790*_xlfn.XLOOKUP(B790,inventario!$A$2:$A$1001,inventario!$E$2:$E$1001), "")</f>
        <v/>
      </c>
    </row>
    <row r="791" spans="4:5" x14ac:dyDescent="0.25">
      <c r="D791" s="4" t="str">
        <f>IF(ISNUMBER(MATCH(B791, inventario!$A$2:$A$1001)), _xlfn.XLOOKUP(B791,inventario!$A$2:$A$1001,inventario!$E$2:$E$1001), "")</f>
        <v/>
      </c>
      <c r="E791" s="4" t="str">
        <f>IF(ISNUMBER(MATCH(B791, inventario!$A$2:$A$1001)), C791*_xlfn.XLOOKUP(B791,inventario!$A$2:$A$1001,inventario!$E$2:$E$1001), "")</f>
        <v/>
      </c>
    </row>
    <row r="792" spans="4:5" x14ac:dyDescent="0.25">
      <c r="D792" s="4" t="str">
        <f>IF(ISNUMBER(MATCH(B792, inventario!$A$2:$A$1001)), _xlfn.XLOOKUP(B792,inventario!$A$2:$A$1001,inventario!$E$2:$E$1001), "")</f>
        <v/>
      </c>
      <c r="E792" s="4" t="str">
        <f>IF(ISNUMBER(MATCH(B792, inventario!$A$2:$A$1001)), C792*_xlfn.XLOOKUP(B792,inventario!$A$2:$A$1001,inventario!$E$2:$E$1001), "")</f>
        <v/>
      </c>
    </row>
    <row r="793" spans="4:5" x14ac:dyDescent="0.25">
      <c r="D793" s="4" t="str">
        <f>IF(ISNUMBER(MATCH(B793, inventario!$A$2:$A$1001)), _xlfn.XLOOKUP(B793,inventario!$A$2:$A$1001,inventario!$E$2:$E$1001), "")</f>
        <v/>
      </c>
      <c r="E793" s="4" t="str">
        <f>IF(ISNUMBER(MATCH(B793, inventario!$A$2:$A$1001)), C793*_xlfn.XLOOKUP(B793,inventario!$A$2:$A$1001,inventario!$E$2:$E$1001), "")</f>
        <v/>
      </c>
    </row>
    <row r="794" spans="4:5" x14ac:dyDescent="0.25">
      <c r="D794" s="4" t="str">
        <f>IF(ISNUMBER(MATCH(B794, inventario!$A$2:$A$1001)), _xlfn.XLOOKUP(B794,inventario!$A$2:$A$1001,inventario!$E$2:$E$1001), "")</f>
        <v/>
      </c>
      <c r="E794" s="4" t="str">
        <f>IF(ISNUMBER(MATCH(B794, inventario!$A$2:$A$1001)), C794*_xlfn.XLOOKUP(B794,inventario!$A$2:$A$1001,inventario!$E$2:$E$1001), "")</f>
        <v/>
      </c>
    </row>
    <row r="795" spans="4:5" x14ac:dyDescent="0.25">
      <c r="D795" s="4" t="str">
        <f>IF(ISNUMBER(MATCH(B795, inventario!$A$2:$A$1001)), _xlfn.XLOOKUP(B795,inventario!$A$2:$A$1001,inventario!$E$2:$E$1001), "")</f>
        <v/>
      </c>
      <c r="E795" s="4" t="str">
        <f>IF(ISNUMBER(MATCH(B795, inventario!$A$2:$A$1001)), C795*_xlfn.XLOOKUP(B795,inventario!$A$2:$A$1001,inventario!$E$2:$E$1001), "")</f>
        <v/>
      </c>
    </row>
    <row r="796" spans="4:5" x14ac:dyDescent="0.25">
      <c r="D796" s="4" t="str">
        <f>IF(ISNUMBER(MATCH(B796, inventario!$A$2:$A$1001)), _xlfn.XLOOKUP(B796,inventario!$A$2:$A$1001,inventario!$E$2:$E$1001), "")</f>
        <v/>
      </c>
      <c r="E796" s="4" t="str">
        <f>IF(ISNUMBER(MATCH(B796, inventario!$A$2:$A$1001)), C796*_xlfn.XLOOKUP(B796,inventario!$A$2:$A$1001,inventario!$E$2:$E$1001), "")</f>
        <v/>
      </c>
    </row>
    <row r="797" spans="4:5" x14ac:dyDescent="0.25">
      <c r="D797" s="4" t="str">
        <f>IF(ISNUMBER(MATCH(B797, inventario!$A$2:$A$1001)), _xlfn.XLOOKUP(B797,inventario!$A$2:$A$1001,inventario!$E$2:$E$1001), "")</f>
        <v/>
      </c>
      <c r="E797" s="4" t="str">
        <f>IF(ISNUMBER(MATCH(B797, inventario!$A$2:$A$1001)), C797*_xlfn.XLOOKUP(B797,inventario!$A$2:$A$1001,inventario!$E$2:$E$1001), "")</f>
        <v/>
      </c>
    </row>
    <row r="798" spans="4:5" x14ac:dyDescent="0.25">
      <c r="D798" s="4" t="str">
        <f>IF(ISNUMBER(MATCH(B798, inventario!$A$2:$A$1001)), _xlfn.XLOOKUP(B798,inventario!$A$2:$A$1001,inventario!$E$2:$E$1001), "")</f>
        <v/>
      </c>
      <c r="E798" s="4" t="str">
        <f>IF(ISNUMBER(MATCH(B798, inventario!$A$2:$A$1001)), C798*_xlfn.XLOOKUP(B798,inventario!$A$2:$A$1001,inventario!$E$2:$E$1001), "")</f>
        <v/>
      </c>
    </row>
    <row r="799" spans="4:5" x14ac:dyDescent="0.25">
      <c r="D799" s="4" t="str">
        <f>IF(ISNUMBER(MATCH(B799, inventario!$A$2:$A$1001)), _xlfn.XLOOKUP(B799,inventario!$A$2:$A$1001,inventario!$E$2:$E$1001), "")</f>
        <v/>
      </c>
      <c r="E799" s="4" t="str">
        <f>IF(ISNUMBER(MATCH(B799, inventario!$A$2:$A$1001)), C799*_xlfn.XLOOKUP(B799,inventario!$A$2:$A$1001,inventario!$E$2:$E$1001), "")</f>
        <v/>
      </c>
    </row>
    <row r="800" spans="4:5" x14ac:dyDescent="0.25">
      <c r="D800" s="4" t="str">
        <f>IF(ISNUMBER(MATCH(B800, inventario!$A$2:$A$1001)), _xlfn.XLOOKUP(B800,inventario!$A$2:$A$1001,inventario!$E$2:$E$1001), "")</f>
        <v/>
      </c>
      <c r="E800" s="4" t="str">
        <f>IF(ISNUMBER(MATCH(B800, inventario!$A$2:$A$1001)), C800*_xlfn.XLOOKUP(B800,inventario!$A$2:$A$1001,inventario!$E$2:$E$1001), "")</f>
        <v/>
      </c>
    </row>
    <row r="801" spans="4:5" x14ac:dyDescent="0.25">
      <c r="D801" s="4" t="str">
        <f>IF(ISNUMBER(MATCH(B801, inventario!$A$2:$A$1001)), _xlfn.XLOOKUP(B801,inventario!$A$2:$A$1001,inventario!$E$2:$E$1001), "")</f>
        <v/>
      </c>
      <c r="E801" s="4" t="str">
        <f>IF(ISNUMBER(MATCH(B801, inventario!$A$2:$A$1001)), C801*_xlfn.XLOOKUP(B801,inventario!$A$2:$A$1001,inventario!$E$2:$E$1001), "")</f>
        <v/>
      </c>
    </row>
    <row r="802" spans="4:5" x14ac:dyDescent="0.25">
      <c r="D802" s="4" t="str">
        <f>IF(ISNUMBER(MATCH(B802, inventario!$A$2:$A$1001)), _xlfn.XLOOKUP(B802,inventario!$A$2:$A$1001,inventario!$E$2:$E$1001), "")</f>
        <v/>
      </c>
      <c r="E802" s="4" t="str">
        <f>IF(ISNUMBER(MATCH(B802, inventario!$A$2:$A$1001)), C802*_xlfn.XLOOKUP(B802,inventario!$A$2:$A$1001,inventario!$E$2:$E$1001), "")</f>
        <v/>
      </c>
    </row>
    <row r="803" spans="4:5" x14ac:dyDescent="0.25">
      <c r="D803" s="4" t="str">
        <f>IF(ISNUMBER(MATCH(B803, inventario!$A$2:$A$1001)), _xlfn.XLOOKUP(B803,inventario!$A$2:$A$1001,inventario!$E$2:$E$1001), "")</f>
        <v/>
      </c>
      <c r="E803" s="4" t="str">
        <f>IF(ISNUMBER(MATCH(B803, inventario!$A$2:$A$1001)), C803*_xlfn.XLOOKUP(B803,inventario!$A$2:$A$1001,inventario!$E$2:$E$1001), "")</f>
        <v/>
      </c>
    </row>
    <row r="804" spans="4:5" x14ac:dyDescent="0.25">
      <c r="D804" s="4" t="str">
        <f>IF(ISNUMBER(MATCH(B804, inventario!$A$2:$A$1001)), _xlfn.XLOOKUP(B804,inventario!$A$2:$A$1001,inventario!$E$2:$E$1001), "")</f>
        <v/>
      </c>
      <c r="E804" s="4" t="str">
        <f>IF(ISNUMBER(MATCH(B804, inventario!$A$2:$A$1001)), C804*_xlfn.XLOOKUP(B804,inventario!$A$2:$A$1001,inventario!$E$2:$E$1001), "")</f>
        <v/>
      </c>
    </row>
    <row r="805" spans="4:5" x14ac:dyDescent="0.25">
      <c r="D805" s="4" t="str">
        <f>IF(ISNUMBER(MATCH(B805, inventario!$A$2:$A$1001)), _xlfn.XLOOKUP(B805,inventario!$A$2:$A$1001,inventario!$E$2:$E$1001), "")</f>
        <v/>
      </c>
      <c r="E805" s="4" t="str">
        <f>IF(ISNUMBER(MATCH(B805, inventario!$A$2:$A$1001)), C805*_xlfn.XLOOKUP(B805,inventario!$A$2:$A$1001,inventario!$E$2:$E$1001), "")</f>
        <v/>
      </c>
    </row>
    <row r="806" spans="4:5" x14ac:dyDescent="0.25">
      <c r="D806" s="4" t="str">
        <f>IF(ISNUMBER(MATCH(B806, inventario!$A$2:$A$1001)), _xlfn.XLOOKUP(B806,inventario!$A$2:$A$1001,inventario!$E$2:$E$1001), "")</f>
        <v/>
      </c>
      <c r="E806" s="4" t="str">
        <f>IF(ISNUMBER(MATCH(B806, inventario!$A$2:$A$1001)), C806*_xlfn.XLOOKUP(B806,inventario!$A$2:$A$1001,inventario!$E$2:$E$1001), "")</f>
        <v/>
      </c>
    </row>
    <row r="807" spans="4:5" x14ac:dyDescent="0.25">
      <c r="D807" s="4" t="str">
        <f>IF(ISNUMBER(MATCH(B807, inventario!$A$2:$A$1001)), _xlfn.XLOOKUP(B807,inventario!$A$2:$A$1001,inventario!$E$2:$E$1001), "")</f>
        <v/>
      </c>
      <c r="E807" s="4" t="str">
        <f>IF(ISNUMBER(MATCH(B807, inventario!$A$2:$A$1001)), C807*_xlfn.XLOOKUP(B807,inventario!$A$2:$A$1001,inventario!$E$2:$E$1001), "")</f>
        <v/>
      </c>
    </row>
    <row r="808" spans="4:5" x14ac:dyDescent="0.25">
      <c r="D808" s="4" t="str">
        <f>IF(ISNUMBER(MATCH(B808, inventario!$A$2:$A$1001)), _xlfn.XLOOKUP(B808,inventario!$A$2:$A$1001,inventario!$E$2:$E$1001), "")</f>
        <v/>
      </c>
      <c r="E808" s="4" t="str">
        <f>IF(ISNUMBER(MATCH(B808, inventario!$A$2:$A$1001)), C808*_xlfn.XLOOKUP(B808,inventario!$A$2:$A$1001,inventario!$E$2:$E$1001), "")</f>
        <v/>
      </c>
    </row>
    <row r="809" spans="4:5" x14ac:dyDescent="0.25">
      <c r="D809" s="4" t="str">
        <f>IF(ISNUMBER(MATCH(B809, inventario!$A$2:$A$1001)), _xlfn.XLOOKUP(B809,inventario!$A$2:$A$1001,inventario!$E$2:$E$1001), "")</f>
        <v/>
      </c>
      <c r="E809" s="4" t="str">
        <f>IF(ISNUMBER(MATCH(B809, inventario!$A$2:$A$1001)), C809*_xlfn.XLOOKUP(B809,inventario!$A$2:$A$1001,inventario!$E$2:$E$1001), "")</f>
        <v/>
      </c>
    </row>
    <row r="810" spans="4:5" x14ac:dyDescent="0.25">
      <c r="D810" s="4" t="str">
        <f>IF(ISNUMBER(MATCH(B810, inventario!$A$2:$A$1001)), _xlfn.XLOOKUP(B810,inventario!$A$2:$A$1001,inventario!$E$2:$E$1001), "")</f>
        <v/>
      </c>
      <c r="E810" s="4" t="str">
        <f>IF(ISNUMBER(MATCH(B810, inventario!$A$2:$A$1001)), C810*_xlfn.XLOOKUP(B810,inventario!$A$2:$A$1001,inventario!$E$2:$E$1001), "")</f>
        <v/>
      </c>
    </row>
    <row r="811" spans="4:5" x14ac:dyDescent="0.25">
      <c r="D811" s="4" t="str">
        <f>IF(ISNUMBER(MATCH(B811, inventario!$A$2:$A$1001)), _xlfn.XLOOKUP(B811,inventario!$A$2:$A$1001,inventario!$E$2:$E$1001), "")</f>
        <v/>
      </c>
      <c r="E811" s="4" t="str">
        <f>IF(ISNUMBER(MATCH(B811, inventario!$A$2:$A$1001)), C811*_xlfn.XLOOKUP(B811,inventario!$A$2:$A$1001,inventario!$E$2:$E$1001), "")</f>
        <v/>
      </c>
    </row>
    <row r="812" spans="4:5" x14ac:dyDescent="0.25">
      <c r="D812" s="4" t="str">
        <f>IF(ISNUMBER(MATCH(B812, inventario!$A$2:$A$1001)), _xlfn.XLOOKUP(B812,inventario!$A$2:$A$1001,inventario!$E$2:$E$1001), "")</f>
        <v/>
      </c>
      <c r="E812" s="4" t="str">
        <f>IF(ISNUMBER(MATCH(B812, inventario!$A$2:$A$1001)), C812*_xlfn.XLOOKUP(B812,inventario!$A$2:$A$1001,inventario!$E$2:$E$1001), "")</f>
        <v/>
      </c>
    </row>
    <row r="813" spans="4:5" x14ac:dyDescent="0.25">
      <c r="D813" s="4" t="str">
        <f>IF(ISNUMBER(MATCH(B813, inventario!$A$2:$A$1001)), _xlfn.XLOOKUP(B813,inventario!$A$2:$A$1001,inventario!$E$2:$E$1001), "")</f>
        <v/>
      </c>
      <c r="E813" s="4" t="str">
        <f>IF(ISNUMBER(MATCH(B813, inventario!$A$2:$A$1001)), C813*_xlfn.XLOOKUP(B813,inventario!$A$2:$A$1001,inventario!$E$2:$E$1001), "")</f>
        <v/>
      </c>
    </row>
    <row r="814" spans="4:5" x14ac:dyDescent="0.25">
      <c r="D814" s="4" t="str">
        <f>IF(ISNUMBER(MATCH(B814, inventario!$A$2:$A$1001)), _xlfn.XLOOKUP(B814,inventario!$A$2:$A$1001,inventario!$E$2:$E$1001), "")</f>
        <v/>
      </c>
      <c r="E814" s="4" t="str">
        <f>IF(ISNUMBER(MATCH(B814, inventario!$A$2:$A$1001)), C814*_xlfn.XLOOKUP(B814,inventario!$A$2:$A$1001,inventario!$E$2:$E$1001), "")</f>
        <v/>
      </c>
    </row>
    <row r="815" spans="4:5" x14ac:dyDescent="0.25">
      <c r="D815" s="4" t="str">
        <f>IF(ISNUMBER(MATCH(B815, inventario!$A$2:$A$1001)), _xlfn.XLOOKUP(B815,inventario!$A$2:$A$1001,inventario!$E$2:$E$1001), "")</f>
        <v/>
      </c>
      <c r="E815" s="4" t="str">
        <f>IF(ISNUMBER(MATCH(B815, inventario!$A$2:$A$1001)), C815*_xlfn.XLOOKUP(B815,inventario!$A$2:$A$1001,inventario!$E$2:$E$1001), "")</f>
        <v/>
      </c>
    </row>
    <row r="816" spans="4:5" x14ac:dyDescent="0.25">
      <c r="D816" s="4" t="str">
        <f>IF(ISNUMBER(MATCH(B816, inventario!$A$2:$A$1001)), _xlfn.XLOOKUP(B816,inventario!$A$2:$A$1001,inventario!$E$2:$E$1001), "")</f>
        <v/>
      </c>
      <c r="E816" s="4" t="str">
        <f>IF(ISNUMBER(MATCH(B816, inventario!$A$2:$A$1001)), C816*_xlfn.XLOOKUP(B816,inventario!$A$2:$A$1001,inventario!$E$2:$E$1001), "")</f>
        <v/>
      </c>
    </row>
    <row r="817" spans="4:5" x14ac:dyDescent="0.25">
      <c r="D817" s="4" t="str">
        <f>IF(ISNUMBER(MATCH(B817, inventario!$A$2:$A$1001)), _xlfn.XLOOKUP(B817,inventario!$A$2:$A$1001,inventario!$E$2:$E$1001), "")</f>
        <v/>
      </c>
      <c r="E817" s="4" t="str">
        <f>IF(ISNUMBER(MATCH(B817, inventario!$A$2:$A$1001)), C817*_xlfn.XLOOKUP(B817,inventario!$A$2:$A$1001,inventario!$E$2:$E$1001), "")</f>
        <v/>
      </c>
    </row>
    <row r="818" spans="4:5" x14ac:dyDescent="0.25">
      <c r="D818" s="4" t="str">
        <f>IF(ISNUMBER(MATCH(B818, inventario!$A$2:$A$1001)), _xlfn.XLOOKUP(B818,inventario!$A$2:$A$1001,inventario!$E$2:$E$1001), "")</f>
        <v/>
      </c>
      <c r="E818" s="4" t="str">
        <f>IF(ISNUMBER(MATCH(B818, inventario!$A$2:$A$1001)), C818*_xlfn.XLOOKUP(B818,inventario!$A$2:$A$1001,inventario!$E$2:$E$1001), "")</f>
        <v/>
      </c>
    </row>
    <row r="819" spans="4:5" x14ac:dyDescent="0.25">
      <c r="D819" s="4" t="str">
        <f>IF(ISNUMBER(MATCH(B819, inventario!$A$2:$A$1001)), _xlfn.XLOOKUP(B819,inventario!$A$2:$A$1001,inventario!$E$2:$E$1001), "")</f>
        <v/>
      </c>
      <c r="E819" s="4" t="str">
        <f>IF(ISNUMBER(MATCH(B819, inventario!$A$2:$A$1001)), C819*_xlfn.XLOOKUP(B819,inventario!$A$2:$A$1001,inventario!$E$2:$E$1001), "")</f>
        <v/>
      </c>
    </row>
    <row r="820" spans="4:5" x14ac:dyDescent="0.25">
      <c r="D820" s="4" t="str">
        <f>IF(ISNUMBER(MATCH(B820, inventario!$A$2:$A$1001)), _xlfn.XLOOKUP(B820,inventario!$A$2:$A$1001,inventario!$E$2:$E$1001), "")</f>
        <v/>
      </c>
      <c r="E820" s="4" t="str">
        <f>IF(ISNUMBER(MATCH(B820, inventario!$A$2:$A$1001)), C820*_xlfn.XLOOKUP(B820,inventario!$A$2:$A$1001,inventario!$E$2:$E$1001), "")</f>
        <v/>
      </c>
    </row>
    <row r="821" spans="4:5" x14ac:dyDescent="0.25">
      <c r="D821" s="4" t="str">
        <f>IF(ISNUMBER(MATCH(B821, inventario!$A$2:$A$1001)), _xlfn.XLOOKUP(B821,inventario!$A$2:$A$1001,inventario!$E$2:$E$1001), "")</f>
        <v/>
      </c>
      <c r="E821" s="4" t="str">
        <f>IF(ISNUMBER(MATCH(B821, inventario!$A$2:$A$1001)), C821*_xlfn.XLOOKUP(B821,inventario!$A$2:$A$1001,inventario!$E$2:$E$1001), "")</f>
        <v/>
      </c>
    </row>
    <row r="822" spans="4:5" x14ac:dyDescent="0.25">
      <c r="D822" s="4" t="str">
        <f>IF(ISNUMBER(MATCH(B822, inventario!$A$2:$A$1001)), _xlfn.XLOOKUP(B822,inventario!$A$2:$A$1001,inventario!$E$2:$E$1001), "")</f>
        <v/>
      </c>
      <c r="E822" s="4" t="str">
        <f>IF(ISNUMBER(MATCH(B822, inventario!$A$2:$A$1001)), C822*_xlfn.XLOOKUP(B822,inventario!$A$2:$A$1001,inventario!$E$2:$E$1001), "")</f>
        <v/>
      </c>
    </row>
    <row r="823" spans="4:5" x14ac:dyDescent="0.25">
      <c r="D823" s="4" t="str">
        <f>IF(ISNUMBER(MATCH(B823, inventario!$A$2:$A$1001)), _xlfn.XLOOKUP(B823,inventario!$A$2:$A$1001,inventario!$E$2:$E$1001), "")</f>
        <v/>
      </c>
      <c r="E823" s="4" t="str">
        <f>IF(ISNUMBER(MATCH(B823, inventario!$A$2:$A$1001)), C823*_xlfn.XLOOKUP(B823,inventario!$A$2:$A$1001,inventario!$E$2:$E$1001), "")</f>
        <v/>
      </c>
    </row>
    <row r="824" spans="4:5" x14ac:dyDescent="0.25">
      <c r="D824" s="4" t="str">
        <f>IF(ISNUMBER(MATCH(B824, inventario!$A$2:$A$1001)), _xlfn.XLOOKUP(B824,inventario!$A$2:$A$1001,inventario!$E$2:$E$1001), "")</f>
        <v/>
      </c>
      <c r="E824" s="4" t="str">
        <f>IF(ISNUMBER(MATCH(B824, inventario!$A$2:$A$1001)), C824*_xlfn.XLOOKUP(B824,inventario!$A$2:$A$1001,inventario!$E$2:$E$1001), "")</f>
        <v/>
      </c>
    </row>
    <row r="825" spans="4:5" x14ac:dyDescent="0.25">
      <c r="D825" s="4" t="str">
        <f>IF(ISNUMBER(MATCH(B825, inventario!$A$2:$A$1001)), _xlfn.XLOOKUP(B825,inventario!$A$2:$A$1001,inventario!$E$2:$E$1001), "")</f>
        <v/>
      </c>
      <c r="E825" s="4" t="str">
        <f>IF(ISNUMBER(MATCH(B825, inventario!$A$2:$A$1001)), C825*_xlfn.XLOOKUP(B825,inventario!$A$2:$A$1001,inventario!$E$2:$E$1001), "")</f>
        <v/>
      </c>
    </row>
    <row r="826" spans="4:5" x14ac:dyDescent="0.25">
      <c r="D826" s="4" t="str">
        <f>IF(ISNUMBER(MATCH(B826, inventario!$A$2:$A$1001)), _xlfn.XLOOKUP(B826,inventario!$A$2:$A$1001,inventario!$E$2:$E$1001), "")</f>
        <v/>
      </c>
      <c r="E826" s="4" t="str">
        <f>IF(ISNUMBER(MATCH(B826, inventario!$A$2:$A$1001)), C826*_xlfn.XLOOKUP(B826,inventario!$A$2:$A$1001,inventario!$E$2:$E$1001), "")</f>
        <v/>
      </c>
    </row>
    <row r="827" spans="4:5" x14ac:dyDescent="0.25">
      <c r="D827" s="4" t="str">
        <f>IF(ISNUMBER(MATCH(B827, inventario!$A$2:$A$1001)), _xlfn.XLOOKUP(B827,inventario!$A$2:$A$1001,inventario!$E$2:$E$1001), "")</f>
        <v/>
      </c>
      <c r="E827" s="4" t="str">
        <f>IF(ISNUMBER(MATCH(B827, inventario!$A$2:$A$1001)), C827*_xlfn.XLOOKUP(B827,inventario!$A$2:$A$1001,inventario!$E$2:$E$1001), "")</f>
        <v/>
      </c>
    </row>
    <row r="828" spans="4:5" x14ac:dyDescent="0.25">
      <c r="D828" s="4" t="str">
        <f>IF(ISNUMBER(MATCH(B828, inventario!$A$2:$A$1001)), _xlfn.XLOOKUP(B828,inventario!$A$2:$A$1001,inventario!$E$2:$E$1001), "")</f>
        <v/>
      </c>
      <c r="E828" s="4" t="str">
        <f>IF(ISNUMBER(MATCH(B828, inventario!$A$2:$A$1001)), C828*_xlfn.XLOOKUP(B828,inventario!$A$2:$A$1001,inventario!$E$2:$E$1001), "")</f>
        <v/>
      </c>
    </row>
    <row r="829" spans="4:5" x14ac:dyDescent="0.25">
      <c r="D829" s="4" t="str">
        <f>IF(ISNUMBER(MATCH(B829, inventario!$A$2:$A$1001)), _xlfn.XLOOKUP(B829,inventario!$A$2:$A$1001,inventario!$E$2:$E$1001), "")</f>
        <v/>
      </c>
      <c r="E829" s="4" t="str">
        <f>IF(ISNUMBER(MATCH(B829, inventario!$A$2:$A$1001)), C829*_xlfn.XLOOKUP(B829,inventario!$A$2:$A$1001,inventario!$E$2:$E$1001), "")</f>
        <v/>
      </c>
    </row>
    <row r="830" spans="4:5" x14ac:dyDescent="0.25">
      <c r="D830" s="4" t="str">
        <f>IF(ISNUMBER(MATCH(B830, inventario!$A$2:$A$1001)), _xlfn.XLOOKUP(B830,inventario!$A$2:$A$1001,inventario!$E$2:$E$1001), "")</f>
        <v/>
      </c>
      <c r="E830" s="4" t="str">
        <f>IF(ISNUMBER(MATCH(B830, inventario!$A$2:$A$1001)), C830*_xlfn.XLOOKUP(B830,inventario!$A$2:$A$1001,inventario!$E$2:$E$1001), "")</f>
        <v/>
      </c>
    </row>
    <row r="831" spans="4:5" x14ac:dyDescent="0.25">
      <c r="D831" s="4" t="str">
        <f>IF(ISNUMBER(MATCH(B831, inventario!$A$2:$A$1001)), _xlfn.XLOOKUP(B831,inventario!$A$2:$A$1001,inventario!$E$2:$E$1001), "")</f>
        <v/>
      </c>
      <c r="E831" s="4" t="str">
        <f>IF(ISNUMBER(MATCH(B831, inventario!$A$2:$A$1001)), C831*_xlfn.XLOOKUP(B831,inventario!$A$2:$A$1001,inventario!$E$2:$E$1001), "")</f>
        <v/>
      </c>
    </row>
    <row r="832" spans="4:5" x14ac:dyDescent="0.25">
      <c r="D832" s="4" t="str">
        <f>IF(ISNUMBER(MATCH(B832, inventario!$A$2:$A$1001)), _xlfn.XLOOKUP(B832,inventario!$A$2:$A$1001,inventario!$E$2:$E$1001), "")</f>
        <v/>
      </c>
      <c r="E832" s="4" t="str">
        <f>IF(ISNUMBER(MATCH(B832, inventario!$A$2:$A$1001)), C832*_xlfn.XLOOKUP(B832,inventario!$A$2:$A$1001,inventario!$E$2:$E$1001), "")</f>
        <v/>
      </c>
    </row>
    <row r="833" spans="4:5" x14ac:dyDescent="0.25">
      <c r="D833" s="4" t="str">
        <f>IF(ISNUMBER(MATCH(B833, inventario!$A$2:$A$1001)), _xlfn.XLOOKUP(B833,inventario!$A$2:$A$1001,inventario!$E$2:$E$1001), "")</f>
        <v/>
      </c>
      <c r="E833" s="4" t="str">
        <f>IF(ISNUMBER(MATCH(B833, inventario!$A$2:$A$1001)), C833*_xlfn.XLOOKUP(B833,inventario!$A$2:$A$1001,inventario!$E$2:$E$1001), "")</f>
        <v/>
      </c>
    </row>
    <row r="834" spans="4:5" x14ac:dyDescent="0.25">
      <c r="D834" s="4" t="str">
        <f>IF(ISNUMBER(MATCH(B834, inventario!$A$2:$A$1001)), _xlfn.XLOOKUP(B834,inventario!$A$2:$A$1001,inventario!$E$2:$E$1001), "")</f>
        <v/>
      </c>
      <c r="E834" s="4" t="str">
        <f>IF(ISNUMBER(MATCH(B834, inventario!$A$2:$A$1001)), C834*_xlfn.XLOOKUP(B834,inventario!$A$2:$A$1001,inventario!$E$2:$E$1001), "")</f>
        <v/>
      </c>
    </row>
    <row r="835" spans="4:5" x14ac:dyDescent="0.25">
      <c r="D835" s="4" t="str">
        <f>IF(ISNUMBER(MATCH(B835, inventario!$A$2:$A$1001)), _xlfn.XLOOKUP(B835,inventario!$A$2:$A$1001,inventario!$E$2:$E$1001), "")</f>
        <v/>
      </c>
      <c r="E835" s="4" t="str">
        <f>IF(ISNUMBER(MATCH(B835, inventario!$A$2:$A$1001)), C835*_xlfn.XLOOKUP(B835,inventario!$A$2:$A$1001,inventario!$E$2:$E$1001), "")</f>
        <v/>
      </c>
    </row>
    <row r="836" spans="4:5" x14ac:dyDescent="0.25">
      <c r="D836" s="4" t="str">
        <f>IF(ISNUMBER(MATCH(B836, inventario!$A$2:$A$1001)), _xlfn.XLOOKUP(B836,inventario!$A$2:$A$1001,inventario!$E$2:$E$1001), "")</f>
        <v/>
      </c>
      <c r="E836" s="4" t="str">
        <f>IF(ISNUMBER(MATCH(B836, inventario!$A$2:$A$1001)), C836*_xlfn.XLOOKUP(B836,inventario!$A$2:$A$1001,inventario!$E$2:$E$1001), "")</f>
        <v/>
      </c>
    </row>
    <row r="837" spans="4:5" x14ac:dyDescent="0.25">
      <c r="D837" s="4" t="str">
        <f>IF(ISNUMBER(MATCH(B837, inventario!$A$2:$A$1001)), _xlfn.XLOOKUP(B837,inventario!$A$2:$A$1001,inventario!$E$2:$E$1001), "")</f>
        <v/>
      </c>
      <c r="E837" s="4" t="str">
        <f>IF(ISNUMBER(MATCH(B837, inventario!$A$2:$A$1001)), C837*_xlfn.XLOOKUP(B837,inventario!$A$2:$A$1001,inventario!$E$2:$E$1001), "")</f>
        <v/>
      </c>
    </row>
    <row r="838" spans="4:5" x14ac:dyDescent="0.25">
      <c r="D838" s="4" t="str">
        <f>IF(ISNUMBER(MATCH(B838, inventario!$A$2:$A$1001)), _xlfn.XLOOKUP(B838,inventario!$A$2:$A$1001,inventario!$E$2:$E$1001), "")</f>
        <v/>
      </c>
      <c r="E838" s="4" t="str">
        <f>IF(ISNUMBER(MATCH(B838, inventario!$A$2:$A$1001)), C838*_xlfn.XLOOKUP(B838,inventario!$A$2:$A$1001,inventario!$E$2:$E$1001), "")</f>
        <v/>
      </c>
    </row>
    <row r="839" spans="4:5" x14ac:dyDescent="0.25">
      <c r="D839" s="4" t="str">
        <f>IF(ISNUMBER(MATCH(B839, inventario!$A$2:$A$1001)), _xlfn.XLOOKUP(B839,inventario!$A$2:$A$1001,inventario!$E$2:$E$1001), "")</f>
        <v/>
      </c>
      <c r="E839" s="4" t="str">
        <f>IF(ISNUMBER(MATCH(B839, inventario!$A$2:$A$1001)), C839*_xlfn.XLOOKUP(B839,inventario!$A$2:$A$1001,inventario!$E$2:$E$1001), "")</f>
        <v/>
      </c>
    </row>
    <row r="840" spans="4:5" x14ac:dyDescent="0.25">
      <c r="D840" s="4" t="str">
        <f>IF(ISNUMBER(MATCH(B840, inventario!$A$2:$A$1001)), _xlfn.XLOOKUP(B840,inventario!$A$2:$A$1001,inventario!$E$2:$E$1001), "")</f>
        <v/>
      </c>
      <c r="E840" s="4" t="str">
        <f>IF(ISNUMBER(MATCH(B840, inventario!$A$2:$A$1001)), C840*_xlfn.XLOOKUP(B840,inventario!$A$2:$A$1001,inventario!$E$2:$E$1001), "")</f>
        <v/>
      </c>
    </row>
    <row r="841" spans="4:5" x14ac:dyDescent="0.25">
      <c r="D841" s="4" t="str">
        <f>IF(ISNUMBER(MATCH(B841, inventario!$A$2:$A$1001)), _xlfn.XLOOKUP(B841,inventario!$A$2:$A$1001,inventario!$E$2:$E$1001), "")</f>
        <v/>
      </c>
      <c r="E841" s="4" t="str">
        <f>IF(ISNUMBER(MATCH(B841, inventario!$A$2:$A$1001)), C841*_xlfn.XLOOKUP(B841,inventario!$A$2:$A$1001,inventario!$E$2:$E$1001), "")</f>
        <v/>
      </c>
    </row>
    <row r="842" spans="4:5" x14ac:dyDescent="0.25">
      <c r="D842" s="4" t="str">
        <f>IF(ISNUMBER(MATCH(B842, inventario!$A$2:$A$1001)), _xlfn.XLOOKUP(B842,inventario!$A$2:$A$1001,inventario!$E$2:$E$1001), "")</f>
        <v/>
      </c>
      <c r="E842" s="4" t="str">
        <f>IF(ISNUMBER(MATCH(B842, inventario!$A$2:$A$1001)), C842*_xlfn.XLOOKUP(B842,inventario!$A$2:$A$1001,inventario!$E$2:$E$1001), "")</f>
        <v/>
      </c>
    </row>
    <row r="843" spans="4:5" x14ac:dyDescent="0.25">
      <c r="D843" s="4" t="str">
        <f>IF(ISNUMBER(MATCH(B843, inventario!$A$2:$A$1001)), _xlfn.XLOOKUP(B843,inventario!$A$2:$A$1001,inventario!$E$2:$E$1001), "")</f>
        <v/>
      </c>
      <c r="E843" s="4" t="str">
        <f>IF(ISNUMBER(MATCH(B843, inventario!$A$2:$A$1001)), C843*_xlfn.XLOOKUP(B843,inventario!$A$2:$A$1001,inventario!$E$2:$E$1001), "")</f>
        <v/>
      </c>
    </row>
    <row r="844" spans="4:5" x14ac:dyDescent="0.25">
      <c r="D844" s="4" t="str">
        <f>IF(ISNUMBER(MATCH(B844, inventario!$A$2:$A$1001)), _xlfn.XLOOKUP(B844,inventario!$A$2:$A$1001,inventario!$E$2:$E$1001), "")</f>
        <v/>
      </c>
      <c r="E844" s="4" t="str">
        <f>IF(ISNUMBER(MATCH(B844, inventario!$A$2:$A$1001)), C844*_xlfn.XLOOKUP(B844,inventario!$A$2:$A$1001,inventario!$E$2:$E$1001), "")</f>
        <v/>
      </c>
    </row>
    <row r="845" spans="4:5" x14ac:dyDescent="0.25">
      <c r="D845" s="4" t="str">
        <f>IF(ISNUMBER(MATCH(B845, inventario!$A$2:$A$1001)), _xlfn.XLOOKUP(B845,inventario!$A$2:$A$1001,inventario!$E$2:$E$1001), "")</f>
        <v/>
      </c>
      <c r="E845" s="4" t="str">
        <f>IF(ISNUMBER(MATCH(B845, inventario!$A$2:$A$1001)), C845*_xlfn.XLOOKUP(B845,inventario!$A$2:$A$1001,inventario!$E$2:$E$1001), "")</f>
        <v/>
      </c>
    </row>
    <row r="846" spans="4:5" x14ac:dyDescent="0.25">
      <c r="D846" s="4" t="str">
        <f>IF(ISNUMBER(MATCH(B846, inventario!$A$2:$A$1001)), _xlfn.XLOOKUP(B846,inventario!$A$2:$A$1001,inventario!$E$2:$E$1001), "")</f>
        <v/>
      </c>
      <c r="E846" s="4" t="str">
        <f>IF(ISNUMBER(MATCH(B846, inventario!$A$2:$A$1001)), C846*_xlfn.XLOOKUP(B846,inventario!$A$2:$A$1001,inventario!$E$2:$E$1001), "")</f>
        <v/>
      </c>
    </row>
    <row r="847" spans="4:5" x14ac:dyDescent="0.25">
      <c r="D847" s="4" t="str">
        <f>IF(ISNUMBER(MATCH(B847, inventario!$A$2:$A$1001)), _xlfn.XLOOKUP(B847,inventario!$A$2:$A$1001,inventario!$E$2:$E$1001), "")</f>
        <v/>
      </c>
      <c r="E847" s="4" t="str">
        <f>IF(ISNUMBER(MATCH(B847, inventario!$A$2:$A$1001)), C847*_xlfn.XLOOKUP(B847,inventario!$A$2:$A$1001,inventario!$E$2:$E$1001), "")</f>
        <v/>
      </c>
    </row>
    <row r="848" spans="4:5" x14ac:dyDescent="0.25">
      <c r="D848" s="4" t="str">
        <f>IF(ISNUMBER(MATCH(B848, inventario!$A$2:$A$1001)), _xlfn.XLOOKUP(B848,inventario!$A$2:$A$1001,inventario!$E$2:$E$1001), "")</f>
        <v/>
      </c>
      <c r="E848" s="4" t="str">
        <f>IF(ISNUMBER(MATCH(B848, inventario!$A$2:$A$1001)), C848*_xlfn.XLOOKUP(B848,inventario!$A$2:$A$1001,inventario!$E$2:$E$1001), "")</f>
        <v/>
      </c>
    </row>
    <row r="849" spans="4:5" x14ac:dyDescent="0.25">
      <c r="D849" s="4" t="str">
        <f>IF(ISNUMBER(MATCH(B849, inventario!$A$2:$A$1001)), _xlfn.XLOOKUP(B849,inventario!$A$2:$A$1001,inventario!$E$2:$E$1001), "")</f>
        <v/>
      </c>
      <c r="E849" s="4" t="str">
        <f>IF(ISNUMBER(MATCH(B849, inventario!$A$2:$A$1001)), C849*_xlfn.XLOOKUP(B849,inventario!$A$2:$A$1001,inventario!$E$2:$E$1001), "")</f>
        <v/>
      </c>
    </row>
    <row r="850" spans="4:5" x14ac:dyDescent="0.25">
      <c r="D850" s="4" t="str">
        <f>IF(ISNUMBER(MATCH(B850, inventario!$A$2:$A$1001)), _xlfn.XLOOKUP(B850,inventario!$A$2:$A$1001,inventario!$E$2:$E$1001), "")</f>
        <v/>
      </c>
      <c r="E850" s="4" t="str">
        <f>IF(ISNUMBER(MATCH(B850, inventario!$A$2:$A$1001)), C850*_xlfn.XLOOKUP(B850,inventario!$A$2:$A$1001,inventario!$E$2:$E$1001), "")</f>
        <v/>
      </c>
    </row>
    <row r="851" spans="4:5" x14ac:dyDescent="0.25">
      <c r="D851" s="4" t="str">
        <f>IF(ISNUMBER(MATCH(B851, inventario!$A$2:$A$1001)), _xlfn.XLOOKUP(B851,inventario!$A$2:$A$1001,inventario!$E$2:$E$1001), "")</f>
        <v/>
      </c>
      <c r="E851" s="4" t="str">
        <f>IF(ISNUMBER(MATCH(B851, inventario!$A$2:$A$1001)), C851*_xlfn.XLOOKUP(B851,inventario!$A$2:$A$1001,inventario!$E$2:$E$1001), "")</f>
        <v/>
      </c>
    </row>
    <row r="852" spans="4:5" x14ac:dyDescent="0.25">
      <c r="D852" s="4" t="str">
        <f>IF(ISNUMBER(MATCH(B852, inventario!$A$2:$A$1001)), _xlfn.XLOOKUP(B852,inventario!$A$2:$A$1001,inventario!$E$2:$E$1001), "")</f>
        <v/>
      </c>
      <c r="E852" s="4" t="str">
        <f>IF(ISNUMBER(MATCH(B852, inventario!$A$2:$A$1001)), C852*_xlfn.XLOOKUP(B852,inventario!$A$2:$A$1001,inventario!$E$2:$E$1001), "")</f>
        <v/>
      </c>
    </row>
    <row r="853" spans="4:5" x14ac:dyDescent="0.25">
      <c r="D853" s="4" t="str">
        <f>IF(ISNUMBER(MATCH(B853, inventario!$A$2:$A$1001)), _xlfn.XLOOKUP(B853,inventario!$A$2:$A$1001,inventario!$E$2:$E$1001), "")</f>
        <v/>
      </c>
      <c r="E853" s="4" t="str">
        <f>IF(ISNUMBER(MATCH(B853, inventario!$A$2:$A$1001)), C853*_xlfn.XLOOKUP(B853,inventario!$A$2:$A$1001,inventario!$E$2:$E$1001), "")</f>
        <v/>
      </c>
    </row>
    <row r="854" spans="4:5" x14ac:dyDescent="0.25">
      <c r="D854" s="4" t="str">
        <f>IF(ISNUMBER(MATCH(B854, inventario!$A$2:$A$1001)), _xlfn.XLOOKUP(B854,inventario!$A$2:$A$1001,inventario!$E$2:$E$1001), "")</f>
        <v/>
      </c>
      <c r="E854" s="4" t="str">
        <f>IF(ISNUMBER(MATCH(B854, inventario!$A$2:$A$1001)), C854*_xlfn.XLOOKUP(B854,inventario!$A$2:$A$1001,inventario!$E$2:$E$1001), "")</f>
        <v/>
      </c>
    </row>
    <row r="855" spans="4:5" x14ac:dyDescent="0.25">
      <c r="D855" s="4" t="str">
        <f>IF(ISNUMBER(MATCH(B855, inventario!$A$2:$A$1001)), _xlfn.XLOOKUP(B855,inventario!$A$2:$A$1001,inventario!$E$2:$E$1001), "")</f>
        <v/>
      </c>
      <c r="E855" s="4" t="str">
        <f>IF(ISNUMBER(MATCH(B855, inventario!$A$2:$A$1001)), C855*_xlfn.XLOOKUP(B855,inventario!$A$2:$A$1001,inventario!$E$2:$E$1001), "")</f>
        <v/>
      </c>
    </row>
    <row r="856" spans="4:5" x14ac:dyDescent="0.25">
      <c r="D856" s="4" t="str">
        <f>IF(ISNUMBER(MATCH(B856, inventario!$A$2:$A$1001)), _xlfn.XLOOKUP(B856,inventario!$A$2:$A$1001,inventario!$E$2:$E$1001), "")</f>
        <v/>
      </c>
      <c r="E856" s="4" t="str">
        <f>IF(ISNUMBER(MATCH(B856, inventario!$A$2:$A$1001)), C856*_xlfn.XLOOKUP(B856,inventario!$A$2:$A$1001,inventario!$E$2:$E$1001), "")</f>
        <v/>
      </c>
    </row>
    <row r="857" spans="4:5" x14ac:dyDescent="0.25">
      <c r="D857" s="4" t="str">
        <f>IF(ISNUMBER(MATCH(B857, inventario!$A$2:$A$1001)), _xlfn.XLOOKUP(B857,inventario!$A$2:$A$1001,inventario!$E$2:$E$1001), "")</f>
        <v/>
      </c>
      <c r="E857" s="4" t="str">
        <f>IF(ISNUMBER(MATCH(B857, inventario!$A$2:$A$1001)), C857*_xlfn.XLOOKUP(B857,inventario!$A$2:$A$1001,inventario!$E$2:$E$1001), "")</f>
        <v/>
      </c>
    </row>
    <row r="858" spans="4:5" x14ac:dyDescent="0.25">
      <c r="D858" s="4" t="str">
        <f>IF(ISNUMBER(MATCH(B858, inventario!$A$2:$A$1001)), _xlfn.XLOOKUP(B858,inventario!$A$2:$A$1001,inventario!$E$2:$E$1001), "")</f>
        <v/>
      </c>
      <c r="E858" s="4" t="str">
        <f>IF(ISNUMBER(MATCH(B858, inventario!$A$2:$A$1001)), C858*_xlfn.XLOOKUP(B858,inventario!$A$2:$A$1001,inventario!$E$2:$E$1001), "")</f>
        <v/>
      </c>
    </row>
    <row r="859" spans="4:5" x14ac:dyDescent="0.25">
      <c r="D859" s="4" t="str">
        <f>IF(ISNUMBER(MATCH(B859, inventario!$A$2:$A$1001)), _xlfn.XLOOKUP(B859,inventario!$A$2:$A$1001,inventario!$E$2:$E$1001), "")</f>
        <v/>
      </c>
      <c r="E859" s="4" t="str">
        <f>IF(ISNUMBER(MATCH(B859, inventario!$A$2:$A$1001)), C859*_xlfn.XLOOKUP(B859,inventario!$A$2:$A$1001,inventario!$E$2:$E$1001), "")</f>
        <v/>
      </c>
    </row>
    <row r="860" spans="4:5" x14ac:dyDescent="0.25">
      <c r="D860" s="4" t="str">
        <f>IF(ISNUMBER(MATCH(B860, inventario!$A$2:$A$1001)), _xlfn.XLOOKUP(B860,inventario!$A$2:$A$1001,inventario!$E$2:$E$1001), "")</f>
        <v/>
      </c>
      <c r="E860" s="4" t="str">
        <f>IF(ISNUMBER(MATCH(B860, inventario!$A$2:$A$1001)), C860*_xlfn.XLOOKUP(B860,inventario!$A$2:$A$1001,inventario!$E$2:$E$1001), "")</f>
        <v/>
      </c>
    </row>
    <row r="861" spans="4:5" x14ac:dyDescent="0.25">
      <c r="D861" s="4" t="str">
        <f>IF(ISNUMBER(MATCH(B861, inventario!$A$2:$A$1001)), _xlfn.XLOOKUP(B861,inventario!$A$2:$A$1001,inventario!$E$2:$E$1001), "")</f>
        <v/>
      </c>
      <c r="E861" s="4" t="str">
        <f>IF(ISNUMBER(MATCH(B861, inventario!$A$2:$A$1001)), C861*_xlfn.XLOOKUP(B861,inventario!$A$2:$A$1001,inventario!$E$2:$E$1001), "")</f>
        <v/>
      </c>
    </row>
    <row r="862" spans="4:5" x14ac:dyDescent="0.25">
      <c r="D862" s="4" t="str">
        <f>IF(ISNUMBER(MATCH(B862, inventario!$A$2:$A$1001)), _xlfn.XLOOKUP(B862,inventario!$A$2:$A$1001,inventario!$E$2:$E$1001), "")</f>
        <v/>
      </c>
      <c r="E862" s="4" t="str">
        <f>IF(ISNUMBER(MATCH(B862, inventario!$A$2:$A$1001)), C862*_xlfn.XLOOKUP(B862,inventario!$A$2:$A$1001,inventario!$E$2:$E$1001), "")</f>
        <v/>
      </c>
    </row>
    <row r="863" spans="4:5" x14ac:dyDescent="0.25">
      <c r="D863" s="4" t="str">
        <f>IF(ISNUMBER(MATCH(B863, inventario!$A$2:$A$1001)), _xlfn.XLOOKUP(B863,inventario!$A$2:$A$1001,inventario!$E$2:$E$1001), "")</f>
        <v/>
      </c>
      <c r="E863" s="4" t="str">
        <f>IF(ISNUMBER(MATCH(B863, inventario!$A$2:$A$1001)), C863*_xlfn.XLOOKUP(B863,inventario!$A$2:$A$1001,inventario!$E$2:$E$1001), "")</f>
        <v/>
      </c>
    </row>
    <row r="864" spans="4:5" x14ac:dyDescent="0.25">
      <c r="D864" s="4" t="str">
        <f>IF(ISNUMBER(MATCH(B864, inventario!$A$2:$A$1001)), _xlfn.XLOOKUP(B864,inventario!$A$2:$A$1001,inventario!$E$2:$E$1001), "")</f>
        <v/>
      </c>
      <c r="E864" s="4" t="str">
        <f>IF(ISNUMBER(MATCH(B864, inventario!$A$2:$A$1001)), C864*_xlfn.XLOOKUP(B864,inventario!$A$2:$A$1001,inventario!$E$2:$E$1001), "")</f>
        <v/>
      </c>
    </row>
    <row r="865" spans="4:5" x14ac:dyDescent="0.25">
      <c r="D865" s="4" t="str">
        <f>IF(ISNUMBER(MATCH(B865, inventario!$A$2:$A$1001)), _xlfn.XLOOKUP(B865,inventario!$A$2:$A$1001,inventario!$E$2:$E$1001), "")</f>
        <v/>
      </c>
      <c r="E865" s="4" t="str">
        <f>IF(ISNUMBER(MATCH(B865, inventario!$A$2:$A$1001)), C865*_xlfn.XLOOKUP(B865,inventario!$A$2:$A$1001,inventario!$E$2:$E$1001), "")</f>
        <v/>
      </c>
    </row>
    <row r="866" spans="4:5" x14ac:dyDescent="0.25">
      <c r="D866" s="4" t="str">
        <f>IF(ISNUMBER(MATCH(B866, inventario!$A$2:$A$1001)), _xlfn.XLOOKUP(B866,inventario!$A$2:$A$1001,inventario!$E$2:$E$1001), "")</f>
        <v/>
      </c>
      <c r="E866" s="4" t="str">
        <f>IF(ISNUMBER(MATCH(B866, inventario!$A$2:$A$1001)), C866*_xlfn.XLOOKUP(B866,inventario!$A$2:$A$1001,inventario!$E$2:$E$1001), "")</f>
        <v/>
      </c>
    </row>
    <row r="867" spans="4:5" x14ac:dyDescent="0.25">
      <c r="D867" s="4" t="str">
        <f>IF(ISNUMBER(MATCH(B867, inventario!$A$2:$A$1001)), _xlfn.XLOOKUP(B867,inventario!$A$2:$A$1001,inventario!$E$2:$E$1001), "")</f>
        <v/>
      </c>
      <c r="E867" s="4" t="str">
        <f>IF(ISNUMBER(MATCH(B867, inventario!$A$2:$A$1001)), C867*_xlfn.XLOOKUP(B867,inventario!$A$2:$A$1001,inventario!$E$2:$E$1001), "")</f>
        <v/>
      </c>
    </row>
    <row r="868" spans="4:5" x14ac:dyDescent="0.25">
      <c r="D868" s="4" t="str">
        <f>IF(ISNUMBER(MATCH(B868, inventario!$A$2:$A$1001)), _xlfn.XLOOKUP(B868,inventario!$A$2:$A$1001,inventario!$E$2:$E$1001), "")</f>
        <v/>
      </c>
      <c r="E868" s="4" t="str">
        <f>IF(ISNUMBER(MATCH(B868, inventario!$A$2:$A$1001)), C868*_xlfn.XLOOKUP(B868,inventario!$A$2:$A$1001,inventario!$E$2:$E$1001), "")</f>
        <v/>
      </c>
    </row>
    <row r="869" spans="4:5" x14ac:dyDescent="0.25">
      <c r="D869" s="4" t="str">
        <f>IF(ISNUMBER(MATCH(B869, inventario!$A$2:$A$1001)), _xlfn.XLOOKUP(B869,inventario!$A$2:$A$1001,inventario!$E$2:$E$1001), "")</f>
        <v/>
      </c>
      <c r="E869" s="4" t="str">
        <f>IF(ISNUMBER(MATCH(B869, inventario!$A$2:$A$1001)), C869*_xlfn.XLOOKUP(B869,inventario!$A$2:$A$1001,inventario!$E$2:$E$1001), "")</f>
        <v/>
      </c>
    </row>
    <row r="870" spans="4:5" x14ac:dyDescent="0.25">
      <c r="D870" s="4" t="str">
        <f>IF(ISNUMBER(MATCH(B870, inventario!$A$2:$A$1001)), _xlfn.XLOOKUP(B870,inventario!$A$2:$A$1001,inventario!$E$2:$E$1001), "")</f>
        <v/>
      </c>
      <c r="E870" s="4" t="str">
        <f>IF(ISNUMBER(MATCH(B870, inventario!$A$2:$A$1001)), C870*_xlfn.XLOOKUP(B870,inventario!$A$2:$A$1001,inventario!$E$2:$E$1001), "")</f>
        <v/>
      </c>
    </row>
    <row r="871" spans="4:5" x14ac:dyDescent="0.25">
      <c r="D871" s="4" t="str">
        <f>IF(ISNUMBER(MATCH(B871, inventario!$A$2:$A$1001)), _xlfn.XLOOKUP(B871,inventario!$A$2:$A$1001,inventario!$E$2:$E$1001), "")</f>
        <v/>
      </c>
      <c r="E871" s="4" t="str">
        <f>IF(ISNUMBER(MATCH(B871, inventario!$A$2:$A$1001)), C871*_xlfn.XLOOKUP(B871,inventario!$A$2:$A$1001,inventario!$E$2:$E$1001), "")</f>
        <v/>
      </c>
    </row>
    <row r="872" spans="4:5" x14ac:dyDescent="0.25">
      <c r="D872" s="4" t="str">
        <f>IF(ISNUMBER(MATCH(B872, inventario!$A$2:$A$1001)), _xlfn.XLOOKUP(B872,inventario!$A$2:$A$1001,inventario!$E$2:$E$1001), "")</f>
        <v/>
      </c>
      <c r="E872" s="4" t="str">
        <f>IF(ISNUMBER(MATCH(B872, inventario!$A$2:$A$1001)), C872*_xlfn.XLOOKUP(B872,inventario!$A$2:$A$1001,inventario!$E$2:$E$1001), "")</f>
        <v/>
      </c>
    </row>
    <row r="873" spans="4:5" x14ac:dyDescent="0.25">
      <c r="D873" s="4" t="str">
        <f>IF(ISNUMBER(MATCH(B873, inventario!$A$2:$A$1001)), _xlfn.XLOOKUP(B873,inventario!$A$2:$A$1001,inventario!$E$2:$E$1001), "")</f>
        <v/>
      </c>
      <c r="E873" s="4" t="str">
        <f>IF(ISNUMBER(MATCH(B873, inventario!$A$2:$A$1001)), C873*_xlfn.XLOOKUP(B873,inventario!$A$2:$A$1001,inventario!$E$2:$E$1001), "")</f>
        <v/>
      </c>
    </row>
    <row r="874" spans="4:5" x14ac:dyDescent="0.25">
      <c r="D874" s="4" t="str">
        <f>IF(ISNUMBER(MATCH(B874, inventario!$A$2:$A$1001)), _xlfn.XLOOKUP(B874,inventario!$A$2:$A$1001,inventario!$E$2:$E$1001), "")</f>
        <v/>
      </c>
      <c r="E874" s="4" t="str">
        <f>IF(ISNUMBER(MATCH(B874, inventario!$A$2:$A$1001)), C874*_xlfn.XLOOKUP(B874,inventario!$A$2:$A$1001,inventario!$E$2:$E$1001), "")</f>
        <v/>
      </c>
    </row>
    <row r="875" spans="4:5" x14ac:dyDescent="0.25">
      <c r="D875" s="4" t="str">
        <f>IF(ISNUMBER(MATCH(B875, inventario!$A$2:$A$1001)), _xlfn.XLOOKUP(B875,inventario!$A$2:$A$1001,inventario!$E$2:$E$1001), "")</f>
        <v/>
      </c>
      <c r="E875" s="4" t="str">
        <f>IF(ISNUMBER(MATCH(B875, inventario!$A$2:$A$1001)), C875*_xlfn.XLOOKUP(B875,inventario!$A$2:$A$1001,inventario!$E$2:$E$1001), "")</f>
        <v/>
      </c>
    </row>
    <row r="876" spans="4:5" x14ac:dyDescent="0.25">
      <c r="D876" s="4" t="str">
        <f>IF(ISNUMBER(MATCH(B876, inventario!$A$2:$A$1001)), _xlfn.XLOOKUP(B876,inventario!$A$2:$A$1001,inventario!$E$2:$E$1001), "")</f>
        <v/>
      </c>
      <c r="E876" s="4" t="str">
        <f>IF(ISNUMBER(MATCH(B876, inventario!$A$2:$A$1001)), C876*_xlfn.XLOOKUP(B876,inventario!$A$2:$A$1001,inventario!$E$2:$E$1001), "")</f>
        <v/>
      </c>
    </row>
    <row r="877" spans="4:5" x14ac:dyDescent="0.25">
      <c r="D877" s="4" t="str">
        <f>IF(ISNUMBER(MATCH(B877, inventario!$A$2:$A$1001)), _xlfn.XLOOKUP(B877,inventario!$A$2:$A$1001,inventario!$E$2:$E$1001), "")</f>
        <v/>
      </c>
      <c r="E877" s="4" t="str">
        <f>IF(ISNUMBER(MATCH(B877, inventario!$A$2:$A$1001)), C877*_xlfn.XLOOKUP(B877,inventario!$A$2:$A$1001,inventario!$E$2:$E$1001), "")</f>
        <v/>
      </c>
    </row>
    <row r="878" spans="4:5" x14ac:dyDescent="0.25">
      <c r="D878" s="4" t="str">
        <f>IF(ISNUMBER(MATCH(B878, inventario!$A$2:$A$1001)), _xlfn.XLOOKUP(B878,inventario!$A$2:$A$1001,inventario!$E$2:$E$1001), "")</f>
        <v/>
      </c>
      <c r="E878" s="4" t="str">
        <f>IF(ISNUMBER(MATCH(B878, inventario!$A$2:$A$1001)), C878*_xlfn.XLOOKUP(B878,inventario!$A$2:$A$1001,inventario!$E$2:$E$1001), "")</f>
        <v/>
      </c>
    </row>
    <row r="879" spans="4:5" x14ac:dyDescent="0.25">
      <c r="D879" s="4" t="str">
        <f>IF(ISNUMBER(MATCH(B879, inventario!$A$2:$A$1001)), _xlfn.XLOOKUP(B879,inventario!$A$2:$A$1001,inventario!$E$2:$E$1001), "")</f>
        <v/>
      </c>
      <c r="E879" s="4" t="str">
        <f>IF(ISNUMBER(MATCH(B879, inventario!$A$2:$A$1001)), C879*_xlfn.XLOOKUP(B879,inventario!$A$2:$A$1001,inventario!$E$2:$E$1001), "")</f>
        <v/>
      </c>
    </row>
    <row r="880" spans="4:5" x14ac:dyDescent="0.25">
      <c r="D880" s="4" t="str">
        <f>IF(ISNUMBER(MATCH(B880, inventario!$A$2:$A$1001)), _xlfn.XLOOKUP(B880,inventario!$A$2:$A$1001,inventario!$E$2:$E$1001), "")</f>
        <v/>
      </c>
      <c r="E880" s="4" t="str">
        <f>IF(ISNUMBER(MATCH(B880, inventario!$A$2:$A$1001)), C880*_xlfn.XLOOKUP(B880,inventario!$A$2:$A$1001,inventario!$E$2:$E$1001), "")</f>
        <v/>
      </c>
    </row>
    <row r="881" spans="4:5" x14ac:dyDescent="0.25">
      <c r="D881" s="4" t="str">
        <f>IF(ISNUMBER(MATCH(B881, inventario!$A$2:$A$1001)), _xlfn.XLOOKUP(B881,inventario!$A$2:$A$1001,inventario!$E$2:$E$1001), "")</f>
        <v/>
      </c>
      <c r="E881" s="4" t="str">
        <f>IF(ISNUMBER(MATCH(B881, inventario!$A$2:$A$1001)), C881*_xlfn.XLOOKUP(B881,inventario!$A$2:$A$1001,inventario!$E$2:$E$1001), "")</f>
        <v/>
      </c>
    </row>
    <row r="882" spans="4:5" x14ac:dyDescent="0.25">
      <c r="D882" s="4" t="str">
        <f>IF(ISNUMBER(MATCH(B882, inventario!$A$2:$A$1001)), _xlfn.XLOOKUP(B882,inventario!$A$2:$A$1001,inventario!$E$2:$E$1001), "")</f>
        <v/>
      </c>
      <c r="E882" s="4" t="str">
        <f>IF(ISNUMBER(MATCH(B882, inventario!$A$2:$A$1001)), C882*_xlfn.XLOOKUP(B882,inventario!$A$2:$A$1001,inventario!$E$2:$E$1001), "")</f>
        <v/>
      </c>
    </row>
    <row r="883" spans="4:5" x14ac:dyDescent="0.25">
      <c r="D883" s="4" t="str">
        <f>IF(ISNUMBER(MATCH(B883, inventario!$A$2:$A$1001)), _xlfn.XLOOKUP(B883,inventario!$A$2:$A$1001,inventario!$E$2:$E$1001), "")</f>
        <v/>
      </c>
      <c r="E883" s="4" t="str">
        <f>IF(ISNUMBER(MATCH(B883, inventario!$A$2:$A$1001)), C883*_xlfn.XLOOKUP(B883,inventario!$A$2:$A$1001,inventario!$E$2:$E$1001), "")</f>
        <v/>
      </c>
    </row>
    <row r="884" spans="4:5" x14ac:dyDescent="0.25">
      <c r="D884" s="4" t="str">
        <f>IF(ISNUMBER(MATCH(B884, inventario!$A$2:$A$1001)), _xlfn.XLOOKUP(B884,inventario!$A$2:$A$1001,inventario!$E$2:$E$1001), "")</f>
        <v/>
      </c>
      <c r="E884" s="4" t="str">
        <f>IF(ISNUMBER(MATCH(B884, inventario!$A$2:$A$1001)), C884*_xlfn.XLOOKUP(B884,inventario!$A$2:$A$1001,inventario!$E$2:$E$1001), "")</f>
        <v/>
      </c>
    </row>
    <row r="885" spans="4:5" x14ac:dyDescent="0.25">
      <c r="D885" s="4" t="str">
        <f>IF(ISNUMBER(MATCH(B885, inventario!$A$2:$A$1001)), _xlfn.XLOOKUP(B885,inventario!$A$2:$A$1001,inventario!$E$2:$E$1001), "")</f>
        <v/>
      </c>
      <c r="E885" s="4" t="str">
        <f>IF(ISNUMBER(MATCH(B885, inventario!$A$2:$A$1001)), C885*_xlfn.XLOOKUP(B885,inventario!$A$2:$A$1001,inventario!$E$2:$E$1001), "")</f>
        <v/>
      </c>
    </row>
    <row r="886" spans="4:5" x14ac:dyDescent="0.25">
      <c r="D886" s="4" t="str">
        <f>IF(ISNUMBER(MATCH(B886, inventario!$A$2:$A$1001)), _xlfn.XLOOKUP(B886,inventario!$A$2:$A$1001,inventario!$E$2:$E$1001), "")</f>
        <v/>
      </c>
      <c r="E886" s="4" t="str">
        <f>IF(ISNUMBER(MATCH(B886, inventario!$A$2:$A$1001)), C886*_xlfn.XLOOKUP(B886,inventario!$A$2:$A$1001,inventario!$E$2:$E$1001), "")</f>
        <v/>
      </c>
    </row>
    <row r="887" spans="4:5" x14ac:dyDescent="0.25">
      <c r="D887" s="4" t="str">
        <f>IF(ISNUMBER(MATCH(B887, inventario!$A$2:$A$1001)), _xlfn.XLOOKUP(B887,inventario!$A$2:$A$1001,inventario!$E$2:$E$1001), "")</f>
        <v/>
      </c>
      <c r="E887" s="4" t="str">
        <f>IF(ISNUMBER(MATCH(B887, inventario!$A$2:$A$1001)), C887*_xlfn.XLOOKUP(B887,inventario!$A$2:$A$1001,inventario!$E$2:$E$1001), "")</f>
        <v/>
      </c>
    </row>
    <row r="888" spans="4:5" x14ac:dyDescent="0.25">
      <c r="D888" s="4" t="str">
        <f>IF(ISNUMBER(MATCH(B888, inventario!$A$2:$A$1001)), _xlfn.XLOOKUP(B888,inventario!$A$2:$A$1001,inventario!$E$2:$E$1001), "")</f>
        <v/>
      </c>
      <c r="E888" s="4" t="str">
        <f>IF(ISNUMBER(MATCH(B888, inventario!$A$2:$A$1001)), C888*_xlfn.XLOOKUP(B888,inventario!$A$2:$A$1001,inventario!$E$2:$E$1001), "")</f>
        <v/>
      </c>
    </row>
    <row r="889" spans="4:5" x14ac:dyDescent="0.25">
      <c r="D889" s="4" t="str">
        <f>IF(ISNUMBER(MATCH(B889, inventario!$A$2:$A$1001)), _xlfn.XLOOKUP(B889,inventario!$A$2:$A$1001,inventario!$E$2:$E$1001), "")</f>
        <v/>
      </c>
      <c r="E889" s="4" t="str">
        <f>IF(ISNUMBER(MATCH(B889, inventario!$A$2:$A$1001)), C889*_xlfn.XLOOKUP(B889,inventario!$A$2:$A$1001,inventario!$E$2:$E$1001), "")</f>
        <v/>
      </c>
    </row>
    <row r="890" spans="4:5" x14ac:dyDescent="0.25">
      <c r="D890" s="4" t="str">
        <f>IF(ISNUMBER(MATCH(B890, inventario!$A$2:$A$1001)), _xlfn.XLOOKUP(B890,inventario!$A$2:$A$1001,inventario!$E$2:$E$1001), "")</f>
        <v/>
      </c>
      <c r="E890" s="4" t="str">
        <f>IF(ISNUMBER(MATCH(B890, inventario!$A$2:$A$1001)), C890*_xlfn.XLOOKUP(B890,inventario!$A$2:$A$1001,inventario!$E$2:$E$1001), "")</f>
        <v/>
      </c>
    </row>
    <row r="891" spans="4:5" x14ac:dyDescent="0.25">
      <c r="D891" s="4" t="str">
        <f>IF(ISNUMBER(MATCH(B891, inventario!$A$2:$A$1001)), _xlfn.XLOOKUP(B891,inventario!$A$2:$A$1001,inventario!$E$2:$E$1001), "")</f>
        <v/>
      </c>
      <c r="E891" s="4" t="str">
        <f>IF(ISNUMBER(MATCH(B891, inventario!$A$2:$A$1001)), C891*_xlfn.XLOOKUP(B891,inventario!$A$2:$A$1001,inventario!$E$2:$E$1001), "")</f>
        <v/>
      </c>
    </row>
    <row r="892" spans="4:5" x14ac:dyDescent="0.25">
      <c r="D892" s="4" t="str">
        <f>IF(ISNUMBER(MATCH(B892, inventario!$A$2:$A$1001)), _xlfn.XLOOKUP(B892,inventario!$A$2:$A$1001,inventario!$E$2:$E$1001), "")</f>
        <v/>
      </c>
      <c r="E892" s="4" t="str">
        <f>IF(ISNUMBER(MATCH(B892, inventario!$A$2:$A$1001)), C892*_xlfn.XLOOKUP(B892,inventario!$A$2:$A$1001,inventario!$E$2:$E$1001), "")</f>
        <v/>
      </c>
    </row>
    <row r="893" spans="4:5" x14ac:dyDescent="0.25">
      <c r="D893" s="4" t="str">
        <f>IF(ISNUMBER(MATCH(B893, inventario!$A$2:$A$1001)), _xlfn.XLOOKUP(B893,inventario!$A$2:$A$1001,inventario!$E$2:$E$1001), "")</f>
        <v/>
      </c>
      <c r="E893" s="4" t="str">
        <f>IF(ISNUMBER(MATCH(B893, inventario!$A$2:$A$1001)), C893*_xlfn.XLOOKUP(B893,inventario!$A$2:$A$1001,inventario!$E$2:$E$1001), "")</f>
        <v/>
      </c>
    </row>
    <row r="894" spans="4:5" x14ac:dyDescent="0.25">
      <c r="D894" s="4" t="str">
        <f>IF(ISNUMBER(MATCH(B894, inventario!$A$2:$A$1001)), _xlfn.XLOOKUP(B894,inventario!$A$2:$A$1001,inventario!$E$2:$E$1001), "")</f>
        <v/>
      </c>
      <c r="E894" s="4" t="str">
        <f>IF(ISNUMBER(MATCH(B894, inventario!$A$2:$A$1001)), C894*_xlfn.XLOOKUP(B894,inventario!$A$2:$A$1001,inventario!$E$2:$E$1001), "")</f>
        <v/>
      </c>
    </row>
    <row r="895" spans="4:5" x14ac:dyDescent="0.25">
      <c r="D895" s="4" t="str">
        <f>IF(ISNUMBER(MATCH(B895, inventario!$A$2:$A$1001)), _xlfn.XLOOKUP(B895,inventario!$A$2:$A$1001,inventario!$E$2:$E$1001), "")</f>
        <v/>
      </c>
      <c r="E895" s="4" t="str">
        <f>IF(ISNUMBER(MATCH(B895, inventario!$A$2:$A$1001)), C895*_xlfn.XLOOKUP(B895,inventario!$A$2:$A$1001,inventario!$E$2:$E$1001), "")</f>
        <v/>
      </c>
    </row>
    <row r="896" spans="4:5" x14ac:dyDescent="0.25">
      <c r="D896" s="4" t="str">
        <f>IF(ISNUMBER(MATCH(B896, inventario!$A$2:$A$1001)), _xlfn.XLOOKUP(B896,inventario!$A$2:$A$1001,inventario!$E$2:$E$1001), "")</f>
        <v/>
      </c>
      <c r="E896" s="4" t="str">
        <f>IF(ISNUMBER(MATCH(B896, inventario!$A$2:$A$1001)), C896*_xlfn.XLOOKUP(B896,inventario!$A$2:$A$1001,inventario!$E$2:$E$1001), "")</f>
        <v/>
      </c>
    </row>
    <row r="897" spans="4:5" x14ac:dyDescent="0.25">
      <c r="D897" s="4" t="str">
        <f>IF(ISNUMBER(MATCH(B897, inventario!$A$2:$A$1001)), _xlfn.XLOOKUP(B897,inventario!$A$2:$A$1001,inventario!$E$2:$E$1001), "")</f>
        <v/>
      </c>
      <c r="E897" s="4" t="str">
        <f>IF(ISNUMBER(MATCH(B897, inventario!$A$2:$A$1001)), C897*_xlfn.XLOOKUP(B897,inventario!$A$2:$A$1001,inventario!$E$2:$E$1001), "")</f>
        <v/>
      </c>
    </row>
    <row r="898" spans="4:5" x14ac:dyDescent="0.25">
      <c r="D898" s="4" t="str">
        <f>IF(ISNUMBER(MATCH(B898, inventario!$A$2:$A$1001)), _xlfn.XLOOKUP(B898,inventario!$A$2:$A$1001,inventario!$E$2:$E$1001), "")</f>
        <v/>
      </c>
      <c r="E898" s="4" t="str">
        <f>IF(ISNUMBER(MATCH(B898, inventario!$A$2:$A$1001)), C898*_xlfn.XLOOKUP(B898,inventario!$A$2:$A$1001,inventario!$E$2:$E$1001), "")</f>
        <v/>
      </c>
    </row>
    <row r="899" spans="4:5" x14ac:dyDescent="0.25">
      <c r="D899" s="4" t="str">
        <f>IF(ISNUMBER(MATCH(B899, inventario!$A$2:$A$1001)), _xlfn.XLOOKUP(B899,inventario!$A$2:$A$1001,inventario!$E$2:$E$1001), "")</f>
        <v/>
      </c>
      <c r="E899" s="4" t="str">
        <f>IF(ISNUMBER(MATCH(B899, inventario!$A$2:$A$1001)), C899*_xlfn.XLOOKUP(B899,inventario!$A$2:$A$1001,inventario!$E$2:$E$1001), "")</f>
        <v/>
      </c>
    </row>
    <row r="900" spans="4:5" x14ac:dyDescent="0.25">
      <c r="D900" s="4" t="str">
        <f>IF(ISNUMBER(MATCH(B900, inventario!$A$2:$A$1001)), _xlfn.XLOOKUP(B900,inventario!$A$2:$A$1001,inventario!$E$2:$E$1001), "")</f>
        <v/>
      </c>
      <c r="E900" s="4" t="str">
        <f>IF(ISNUMBER(MATCH(B900, inventario!$A$2:$A$1001)), C900*_xlfn.XLOOKUP(B900,inventario!$A$2:$A$1001,inventario!$E$2:$E$1001), "")</f>
        <v/>
      </c>
    </row>
    <row r="901" spans="4:5" x14ac:dyDescent="0.25">
      <c r="D901" s="4" t="str">
        <f>IF(ISNUMBER(MATCH(B901, inventario!$A$2:$A$1001)), _xlfn.XLOOKUP(B901,inventario!$A$2:$A$1001,inventario!$E$2:$E$1001), "")</f>
        <v/>
      </c>
      <c r="E901" s="4" t="str">
        <f>IF(ISNUMBER(MATCH(B901, inventario!$A$2:$A$1001)), C901*_xlfn.XLOOKUP(B901,inventario!$A$2:$A$1001,inventario!$E$2:$E$1001), "")</f>
        <v/>
      </c>
    </row>
    <row r="902" spans="4:5" x14ac:dyDescent="0.25">
      <c r="D902" s="4" t="str">
        <f>IF(ISNUMBER(MATCH(B902, inventario!$A$2:$A$1001)), _xlfn.XLOOKUP(B902,inventario!$A$2:$A$1001,inventario!$E$2:$E$1001), "")</f>
        <v/>
      </c>
      <c r="E902" s="4" t="str">
        <f>IF(ISNUMBER(MATCH(B902, inventario!$A$2:$A$1001)), C902*_xlfn.XLOOKUP(B902,inventario!$A$2:$A$1001,inventario!$E$2:$E$1001), "")</f>
        <v/>
      </c>
    </row>
    <row r="903" spans="4:5" x14ac:dyDescent="0.25">
      <c r="D903" s="4" t="str">
        <f>IF(ISNUMBER(MATCH(B903, inventario!$A$2:$A$1001)), _xlfn.XLOOKUP(B903,inventario!$A$2:$A$1001,inventario!$E$2:$E$1001), "")</f>
        <v/>
      </c>
      <c r="E903" s="4" t="str">
        <f>IF(ISNUMBER(MATCH(B903, inventario!$A$2:$A$1001)), C903*_xlfn.XLOOKUP(B903,inventario!$A$2:$A$1001,inventario!$E$2:$E$1001), "")</f>
        <v/>
      </c>
    </row>
    <row r="904" spans="4:5" x14ac:dyDescent="0.25">
      <c r="D904" s="4" t="str">
        <f>IF(ISNUMBER(MATCH(B904, inventario!$A$2:$A$1001)), _xlfn.XLOOKUP(B904,inventario!$A$2:$A$1001,inventario!$E$2:$E$1001), "")</f>
        <v/>
      </c>
      <c r="E904" s="4" t="str">
        <f>IF(ISNUMBER(MATCH(B904, inventario!$A$2:$A$1001)), C904*_xlfn.XLOOKUP(B904,inventario!$A$2:$A$1001,inventario!$E$2:$E$1001), "")</f>
        <v/>
      </c>
    </row>
    <row r="905" spans="4:5" x14ac:dyDescent="0.25">
      <c r="D905" s="4" t="str">
        <f>IF(ISNUMBER(MATCH(B905, inventario!$A$2:$A$1001)), _xlfn.XLOOKUP(B905,inventario!$A$2:$A$1001,inventario!$E$2:$E$1001), "")</f>
        <v/>
      </c>
      <c r="E905" s="4" t="str">
        <f>IF(ISNUMBER(MATCH(B905, inventario!$A$2:$A$1001)), C905*_xlfn.XLOOKUP(B905,inventario!$A$2:$A$1001,inventario!$E$2:$E$1001), "")</f>
        <v/>
      </c>
    </row>
    <row r="906" spans="4:5" x14ac:dyDescent="0.25">
      <c r="D906" s="4" t="str">
        <f>IF(ISNUMBER(MATCH(B906, inventario!$A$2:$A$1001)), _xlfn.XLOOKUP(B906,inventario!$A$2:$A$1001,inventario!$E$2:$E$1001), "")</f>
        <v/>
      </c>
      <c r="E906" s="4" t="str">
        <f>IF(ISNUMBER(MATCH(B906, inventario!$A$2:$A$1001)), C906*_xlfn.XLOOKUP(B906,inventario!$A$2:$A$1001,inventario!$E$2:$E$1001), "")</f>
        <v/>
      </c>
    </row>
    <row r="907" spans="4:5" x14ac:dyDescent="0.25">
      <c r="D907" s="4" t="str">
        <f>IF(ISNUMBER(MATCH(B907, inventario!$A$2:$A$1001)), _xlfn.XLOOKUP(B907,inventario!$A$2:$A$1001,inventario!$E$2:$E$1001), "")</f>
        <v/>
      </c>
      <c r="E907" s="4" t="str">
        <f>IF(ISNUMBER(MATCH(B907, inventario!$A$2:$A$1001)), C907*_xlfn.XLOOKUP(B907,inventario!$A$2:$A$1001,inventario!$E$2:$E$1001), "")</f>
        <v/>
      </c>
    </row>
    <row r="908" spans="4:5" x14ac:dyDescent="0.25">
      <c r="D908" s="4" t="str">
        <f>IF(ISNUMBER(MATCH(B908, inventario!$A$2:$A$1001)), _xlfn.XLOOKUP(B908,inventario!$A$2:$A$1001,inventario!$E$2:$E$1001), "")</f>
        <v/>
      </c>
      <c r="E908" s="4" t="str">
        <f>IF(ISNUMBER(MATCH(B908, inventario!$A$2:$A$1001)), C908*_xlfn.XLOOKUP(B908,inventario!$A$2:$A$1001,inventario!$E$2:$E$1001), "")</f>
        <v/>
      </c>
    </row>
    <row r="909" spans="4:5" x14ac:dyDescent="0.25">
      <c r="D909" s="4" t="str">
        <f>IF(ISNUMBER(MATCH(B909, inventario!$A$2:$A$1001)), _xlfn.XLOOKUP(B909,inventario!$A$2:$A$1001,inventario!$E$2:$E$1001), "")</f>
        <v/>
      </c>
      <c r="E909" s="4" t="str">
        <f>IF(ISNUMBER(MATCH(B909, inventario!$A$2:$A$1001)), C909*_xlfn.XLOOKUP(B909,inventario!$A$2:$A$1001,inventario!$E$2:$E$1001), "")</f>
        <v/>
      </c>
    </row>
    <row r="910" spans="4:5" x14ac:dyDescent="0.25">
      <c r="D910" s="4" t="str">
        <f>IF(ISNUMBER(MATCH(B910, inventario!$A$2:$A$1001)), _xlfn.XLOOKUP(B910,inventario!$A$2:$A$1001,inventario!$E$2:$E$1001), "")</f>
        <v/>
      </c>
      <c r="E910" s="4" t="str">
        <f>IF(ISNUMBER(MATCH(B910, inventario!$A$2:$A$1001)), C910*_xlfn.XLOOKUP(B910,inventario!$A$2:$A$1001,inventario!$E$2:$E$1001), "")</f>
        <v/>
      </c>
    </row>
    <row r="911" spans="4:5" x14ac:dyDescent="0.25">
      <c r="D911" s="4" t="str">
        <f>IF(ISNUMBER(MATCH(B911, inventario!$A$2:$A$1001)), _xlfn.XLOOKUP(B911,inventario!$A$2:$A$1001,inventario!$E$2:$E$1001), "")</f>
        <v/>
      </c>
      <c r="E911" s="4" t="str">
        <f>IF(ISNUMBER(MATCH(B911, inventario!$A$2:$A$1001)), C911*_xlfn.XLOOKUP(B911,inventario!$A$2:$A$1001,inventario!$E$2:$E$1001), "")</f>
        <v/>
      </c>
    </row>
    <row r="912" spans="4:5" x14ac:dyDescent="0.25">
      <c r="D912" s="4" t="str">
        <f>IF(ISNUMBER(MATCH(B912, inventario!$A$2:$A$1001)), _xlfn.XLOOKUP(B912,inventario!$A$2:$A$1001,inventario!$E$2:$E$1001), "")</f>
        <v/>
      </c>
      <c r="E912" s="4" t="str">
        <f>IF(ISNUMBER(MATCH(B912, inventario!$A$2:$A$1001)), C912*_xlfn.XLOOKUP(B912,inventario!$A$2:$A$1001,inventario!$E$2:$E$1001), "")</f>
        <v/>
      </c>
    </row>
    <row r="913" spans="4:5" x14ac:dyDescent="0.25">
      <c r="D913" s="4" t="str">
        <f>IF(ISNUMBER(MATCH(B913, inventario!$A$2:$A$1001)), _xlfn.XLOOKUP(B913,inventario!$A$2:$A$1001,inventario!$E$2:$E$1001), "")</f>
        <v/>
      </c>
      <c r="E913" s="4" t="str">
        <f>IF(ISNUMBER(MATCH(B913, inventario!$A$2:$A$1001)), C913*_xlfn.XLOOKUP(B913,inventario!$A$2:$A$1001,inventario!$E$2:$E$1001), "")</f>
        <v/>
      </c>
    </row>
    <row r="914" spans="4:5" x14ac:dyDescent="0.25">
      <c r="D914" s="4" t="str">
        <f>IF(ISNUMBER(MATCH(B914, inventario!$A$2:$A$1001)), _xlfn.XLOOKUP(B914,inventario!$A$2:$A$1001,inventario!$E$2:$E$1001), "")</f>
        <v/>
      </c>
      <c r="E914" s="4" t="str">
        <f>IF(ISNUMBER(MATCH(B914, inventario!$A$2:$A$1001)), C914*_xlfn.XLOOKUP(B914,inventario!$A$2:$A$1001,inventario!$E$2:$E$1001), "")</f>
        <v/>
      </c>
    </row>
    <row r="915" spans="4:5" x14ac:dyDescent="0.25">
      <c r="D915" s="4" t="str">
        <f>IF(ISNUMBER(MATCH(B915, inventario!$A$2:$A$1001)), _xlfn.XLOOKUP(B915,inventario!$A$2:$A$1001,inventario!$E$2:$E$1001), "")</f>
        <v/>
      </c>
      <c r="E915" s="4" t="str">
        <f>IF(ISNUMBER(MATCH(B915, inventario!$A$2:$A$1001)), C915*_xlfn.XLOOKUP(B915,inventario!$A$2:$A$1001,inventario!$E$2:$E$1001), "")</f>
        <v/>
      </c>
    </row>
    <row r="916" spans="4:5" x14ac:dyDescent="0.25">
      <c r="D916" s="4" t="str">
        <f>IF(ISNUMBER(MATCH(B916, inventario!$A$2:$A$1001)), _xlfn.XLOOKUP(B916,inventario!$A$2:$A$1001,inventario!$E$2:$E$1001), "")</f>
        <v/>
      </c>
      <c r="E916" s="4" t="str">
        <f>IF(ISNUMBER(MATCH(B916, inventario!$A$2:$A$1001)), C916*_xlfn.XLOOKUP(B916,inventario!$A$2:$A$1001,inventario!$E$2:$E$1001), "")</f>
        <v/>
      </c>
    </row>
    <row r="917" spans="4:5" x14ac:dyDescent="0.25">
      <c r="D917" s="4" t="str">
        <f>IF(ISNUMBER(MATCH(B917, inventario!$A$2:$A$1001)), _xlfn.XLOOKUP(B917,inventario!$A$2:$A$1001,inventario!$E$2:$E$1001), "")</f>
        <v/>
      </c>
      <c r="E917" s="4" t="str">
        <f>IF(ISNUMBER(MATCH(B917, inventario!$A$2:$A$1001)), C917*_xlfn.XLOOKUP(B917,inventario!$A$2:$A$1001,inventario!$E$2:$E$1001), "")</f>
        <v/>
      </c>
    </row>
    <row r="918" spans="4:5" x14ac:dyDescent="0.25">
      <c r="D918" s="4" t="str">
        <f>IF(ISNUMBER(MATCH(B918, inventario!$A$2:$A$1001)), _xlfn.XLOOKUP(B918,inventario!$A$2:$A$1001,inventario!$E$2:$E$1001), "")</f>
        <v/>
      </c>
      <c r="E918" s="4" t="str">
        <f>IF(ISNUMBER(MATCH(B918, inventario!$A$2:$A$1001)), C918*_xlfn.XLOOKUP(B918,inventario!$A$2:$A$1001,inventario!$E$2:$E$1001), "")</f>
        <v/>
      </c>
    </row>
    <row r="919" spans="4:5" x14ac:dyDescent="0.25">
      <c r="D919" s="4" t="str">
        <f>IF(ISNUMBER(MATCH(B919, inventario!$A$2:$A$1001)), _xlfn.XLOOKUP(B919,inventario!$A$2:$A$1001,inventario!$E$2:$E$1001), "")</f>
        <v/>
      </c>
      <c r="E919" s="4" t="str">
        <f>IF(ISNUMBER(MATCH(B919, inventario!$A$2:$A$1001)), C919*_xlfn.XLOOKUP(B919,inventario!$A$2:$A$1001,inventario!$E$2:$E$1001), "")</f>
        <v/>
      </c>
    </row>
    <row r="920" spans="4:5" x14ac:dyDescent="0.25">
      <c r="D920" s="4" t="str">
        <f>IF(ISNUMBER(MATCH(B920, inventario!$A$2:$A$1001)), _xlfn.XLOOKUP(B920,inventario!$A$2:$A$1001,inventario!$E$2:$E$1001), "")</f>
        <v/>
      </c>
      <c r="E920" s="4" t="str">
        <f>IF(ISNUMBER(MATCH(B920, inventario!$A$2:$A$1001)), C920*_xlfn.XLOOKUP(B920,inventario!$A$2:$A$1001,inventario!$E$2:$E$1001), "")</f>
        <v/>
      </c>
    </row>
    <row r="921" spans="4:5" x14ac:dyDescent="0.25">
      <c r="D921" s="4" t="str">
        <f>IF(ISNUMBER(MATCH(B921, inventario!$A$2:$A$1001)), _xlfn.XLOOKUP(B921,inventario!$A$2:$A$1001,inventario!$E$2:$E$1001), "")</f>
        <v/>
      </c>
      <c r="E921" s="4" t="str">
        <f>IF(ISNUMBER(MATCH(B921, inventario!$A$2:$A$1001)), C921*_xlfn.XLOOKUP(B921,inventario!$A$2:$A$1001,inventario!$E$2:$E$1001), "")</f>
        <v/>
      </c>
    </row>
    <row r="922" spans="4:5" x14ac:dyDescent="0.25">
      <c r="D922" s="4" t="str">
        <f>IF(ISNUMBER(MATCH(B922, inventario!$A$2:$A$1001)), _xlfn.XLOOKUP(B922,inventario!$A$2:$A$1001,inventario!$E$2:$E$1001), "")</f>
        <v/>
      </c>
      <c r="E922" s="4" t="str">
        <f>IF(ISNUMBER(MATCH(B922, inventario!$A$2:$A$1001)), C922*_xlfn.XLOOKUP(B922,inventario!$A$2:$A$1001,inventario!$E$2:$E$1001), "")</f>
        <v/>
      </c>
    </row>
    <row r="923" spans="4:5" x14ac:dyDescent="0.25">
      <c r="D923" s="4" t="str">
        <f>IF(ISNUMBER(MATCH(B923, inventario!$A$2:$A$1001)), _xlfn.XLOOKUP(B923,inventario!$A$2:$A$1001,inventario!$E$2:$E$1001), "")</f>
        <v/>
      </c>
      <c r="E923" s="4" t="str">
        <f>IF(ISNUMBER(MATCH(B923, inventario!$A$2:$A$1001)), C923*_xlfn.XLOOKUP(B923,inventario!$A$2:$A$1001,inventario!$E$2:$E$1001),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inventario!$A$2:$A$1001,inventario!$D$2:$D$1001)</xm:f>
          </x14:formula2>
          <xm:sqref>C24:C927 C2:C22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workbookViewId="0">
      <selection activeCell="H13" sqref="H13"/>
    </sheetView>
  </sheetViews>
  <sheetFormatPr defaultColWidth="11.42578125" defaultRowHeight="15" x14ac:dyDescent="0.25"/>
  <cols>
    <col min="1" max="1" width="20.7109375" bestFit="1" customWidth="1"/>
  </cols>
  <sheetData>
    <row r="1" spans="1:1" x14ac:dyDescent="0.25">
      <c r="A1" t="s">
        <v>154</v>
      </c>
    </row>
    <row r="2" spans="1:1" x14ac:dyDescent="0.25">
      <c r="A2" t="s">
        <v>150</v>
      </c>
    </row>
    <row r="3" spans="1:1" x14ac:dyDescent="0.25">
      <c r="A3" t="s">
        <v>151</v>
      </c>
    </row>
    <row r="4" spans="1:1" x14ac:dyDescent="0.25">
      <c r="A4" t="s">
        <v>152</v>
      </c>
    </row>
    <row r="5" spans="1:1" x14ac:dyDescent="0.25">
      <c r="A5" t="s">
        <v>153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62C6-C828-4D56-AA47-7705518AD5BF}">
  <sheetPr codeName="Hoja3"/>
  <dimension ref="A1"/>
  <sheetViews>
    <sheetView workbookViewId="0">
      <selection activeCell="H11" sqref="H11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25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25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25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25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25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25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25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25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25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25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25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25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25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25">
      <c r="A16" s="3" t="s">
        <v>139</v>
      </c>
      <c r="B16" s="4"/>
      <c r="C16" s="4">
        <v>36000</v>
      </c>
      <c r="D16" s="4">
        <v>0</v>
      </c>
      <c r="E16" s="3"/>
    </row>
    <row r="17" spans="1:5" x14ac:dyDescent="0.25">
      <c r="A17" s="3" t="s">
        <v>140</v>
      </c>
      <c r="B17" s="4"/>
      <c r="C17" s="4">
        <v>28000</v>
      </c>
      <c r="D17" s="4">
        <v>0</v>
      </c>
      <c r="E17" s="3"/>
    </row>
    <row r="18" spans="1:5" x14ac:dyDescent="0.25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25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25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25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25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25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25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25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25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25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25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25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25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25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25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25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25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25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25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25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25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25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25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25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25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25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25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25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25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25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25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25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25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25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25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25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25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25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25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25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25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25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25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25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25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25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25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25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25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25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25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25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25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25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25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25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25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25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25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25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25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25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25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25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25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25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25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25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25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25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25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25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25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25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25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25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25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25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25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25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25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25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25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25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25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25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25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25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25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25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25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25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25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25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25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25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25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25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25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25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25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25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25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25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25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135</v>
      </c>
    </row>
    <row r="2" spans="1:1" x14ac:dyDescent="0.25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clientes</vt:lpstr>
      <vt:lpstr>inventario</vt:lpstr>
      <vt:lpstr>ordenes</vt:lpstr>
      <vt:lpstr>ventas</vt:lpstr>
      <vt:lpstr>Facturas</vt:lpstr>
      <vt:lpstr>vendedores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2025-03-05T05:41:46Z</dcterms:modified>
</cp:coreProperties>
</file>