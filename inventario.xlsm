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BBD710F3-EEEB-48CF-A35B-31C461727F6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clientes" sheetId="9" r:id="rId1"/>
    <sheet name="inventario" sheetId="1" r:id="rId2"/>
    <sheet name="ordenes" sheetId="13" r:id="rId3"/>
    <sheet name="ventas" sheetId="14" r:id="rId4"/>
    <sheet name="Facturas" sheetId="2" state="hidden" r:id="rId5"/>
    <sheet name="vendedores" sheetId="16" r:id="rId6"/>
    <sheet name="Indicadores" sheetId="17" r:id="rId7"/>
    <sheet name="Hoja1" sheetId="12" state="hidden" r:id="rId8"/>
    <sheet name="Sheet1" sheetId="11" state="hidden" r:id="rId9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<sst xmlns="http://schemas.openxmlformats.org/spreadsheetml/2006/main" count="288" uniqueCount="163">
  <si>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</si>
  <si>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</si>
  <si>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</si>
  <si>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</si>
  <si>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</si>
  <si>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</si>
  <si>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</si>
  <si>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</si>
  <si>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</si>
  <si>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</si>
  <si>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</si>
  <si>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</si>
  <si>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</si>
  <si>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</si>
  <si>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</si>
  <si>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</si>
  <si>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</si>
  <si>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</si>
  <si>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</si>
  <si>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</si>
  <si>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</si>
  <si>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</si>
  <si>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</si>
  <si>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</si>
  <si>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</si>
  <si>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</si>
  <si>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</si>
  <si>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</si>
  <si>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</si>
  <si>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</si>
  <si>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</si>
  <si>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</si>
  <si>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</si>
  <si>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</si>
  <si>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</si>
  <si>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</si>
  <si>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</si>
  <si>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</si>
  <si>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</si>
  <si>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</si>
  <si>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</si>
  <si>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</si>
  <si>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</si>
  <si>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</si>
  <si>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</si>
  <si>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</si>
  <si>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</si>
  <si>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</si>
  <si>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</si>
  <si>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</si>
  <si>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</si>
  <si>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</si>
  <si>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</si>
  <si>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</si>
  <si>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</si>
  <si>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</si>
  <si>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</si>
  <si>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</si>
  <si>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</si>
  <si>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</si>
  <si>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</si>
  <si>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</si>
  <si>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</si>
  <si>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</si>
  <si>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</si>
  <si>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</si>
  <si>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</si>
  <si>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</si>
  <si>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</si>
  <si>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</si>
  <si>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</si>
  <si>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</si>
  <si>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</si>
  <si>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</si>
  <si>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</si>
  <si>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</si>
  <si>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</si>
  <si>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</si>
  <si>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</si>
  <si>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</si>
  <si>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</si>
  <si>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</si>
  <si>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</si>
  <si>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</si>
  <si>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</si>
  <si>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</si>
  <si>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</si>
  <si>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</si>
  <si>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</si>
  <si>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</si>
  <si>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</si>
  <si>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</si>
  <si>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</si>
  <si>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</si>
  <si>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</si>
  <si>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</si>
  <si>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</si>
  <si>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</si>
  <si>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</si>
  <si>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</si>
  <si>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</si>
  <si>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</si>
  <si>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</si>
  <si>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</si>
  <si>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</si>
  <si>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</si>
  <si>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</si>
  <si>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</si>
  <si>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</si>
  <si>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</si>
  <si>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</si>
  <si>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</si>
  <si>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</si>
  <si>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</si>
  <si>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</si>
  <si>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</si>
  <si>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</si>
  <si>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</si>
  <si>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</si>
  <si>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</si>
  <si>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</si>
  <si>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</si>
  <si>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</si>
  <si>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</si>
  <si>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</si>
  <si>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</si>
  <si>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</si>
  <si>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</si>
  <si>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</si>
  <si>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</si>
  <si>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</si>
  <si>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</si>
  <si>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</si>
  <si>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</si>
  <si>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</si>
  <si>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</si>
  <si>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</si>
  <si>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</si>
  <si>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</si>
  <si>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</si>
  <si>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</si>
  <si>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</si>
  <si>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</si>
  <si>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</si>
  <si>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</si>
  <si>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</si>
  <si>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</si>
  <si>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</si>
  <si>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</si>
  <si>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</si>
  <si>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</si>
  <si>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</si>
  <si>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</si>
  <si>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</si>
  <si>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</si>
  <si>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</si>
  <si>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</si>
  <si>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</si>
  <si>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</si>
  <si>
    <t>precio paca</t>
  </si>
  <si>
    <t>p cataluna</t>
  </si>
  <si>
    <t>my friend</t>
  </si>
  <si>
    <t>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</si>
</sst>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164" fontId="0" fillId="0" borderId="13" xfId="45" applyFont="1" applyBorder="1"/>
    <xf numFmtId="164" fontId="0" fillId="0" borderId="13" xfId="45" applyFont="1" applyFill="1" applyBorder="1"/>
    <xf numFmtId="16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16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  <xf numFmtId="44" fontId="16" fillId="35" borderId="16" xfId="46" applyFont="1" applyFill="1" applyBorder="1" applyAlignment="1">
      <alignment horizontal="center"/>
    </xf>
    <xf numFmtId="44" fontId="0" fillId="0" borderId="13" xfId="46" applyFont="1" applyBorder="1"/>
    <xf numFmtId="44" fontId="0" fillId="0" borderId="13" xfId="46" applyFont="1" applyFill="1" applyBorder="1"/>
    <xf numFmtId="44" fontId="0" fillId="0" borderId="13" xfId="46" applyFont="1" applyBorder="1" applyAlignment="1">
      <alignment horizontal="right"/>
    </xf>
    <xf numFmtId="44" fontId="0" fillId="0" borderId="19" xfId="46" applyFont="1" applyBorder="1"/>
    <xf numFmtId="44" fontId="0" fillId="0" borderId="0" xfId="46" applyFont="1"/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6" builtinId="4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4" totalsRowShown="0" headerRowDxfId="9">
  <autoFilter ref="A1:D4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F122" totalsRowShown="0" headerRowBorderDxfId="8" tableBorderDxfId="7" totalsRowBorderDxfId="6">
  <autoFilter ref="A1:F122" xr:uid="{307DBC5F-3EDE-4581-A466-30A56BCA9DF4}"/>
  <tableColumns count="6">
    <tableColumn id="1" xr3:uid="{FC7FED7E-A956-40CF-81FF-3682E77EB9EA}" name="Producto" dataDxfId="5"/>
    <tableColumn id="5" xr3:uid="{88CEB127-22AC-4B12-881E-296A51693002}" name="cantidad tienda (unds)" dataDxfId="4"/>
    <tableColumn id="2" xr3:uid="{B2D53BD9-80E7-4D4E-86D9-0F5F56B66B20}" name="cantidad en bodega" dataDxfId="3"/>
    <tableColumn id="6" xr3:uid="{C9836B99-3FF1-4072-9E16-CF293A2F3374}" name="unds x paca" dataDxfId="2"/>
    <tableColumn id="3" xr3:uid="{B454491A-7D4E-4B08-B9E8-C1023FF19FFB}" name="precio" dataDxfId="1" dataCellStyle="Currency 2"/>
    <tableColumn id="4" xr3:uid="{46C16596-D287-49AC-966B-AC6C5F58B58E}" name="precio paca" dataDxfId="0" dataCellStyle="Currency">
      <calculatedColumnFormula>+inventario[[#This Row],[precio]]*inventario[[#This Row],[unds x paca]]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insertRow="1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F2" insertRow="1" totalsRowShown="0">
  <autoFilter ref="A1:F2" xr:uid="{33A84EF3-D179-4B69-A9D7-FC3CD80E8D25}"/>
  <tableColumns count="6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4"/>
  <sheetViews>
    <sheetView workbookViewId="0">
      <selection activeCell="A3" sqref="A3:D3"/>
    </sheetView>
  </sheetViews>
  <sheetFormatPr defaultColWidth="8.85546875"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5.1406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  <row r="3" spans="1:4" x14ac:dyDescent="0.25">
      <c r="A3">
        <v>1234</v>
      </c>
      <c r="B3" t="s">
        <v>160</v>
      </c>
      <c r="C3" t="s">
        <v>161</v>
      </c>
      <c r="D3">
        <v>38759</v>
      </c>
    </row>
    <row r="4" spans="1:4" x14ac:dyDescent="0.25">
      <c r="A4">
        <v>23455</v>
      </c>
      <c r="B4">
        <v>111</v>
      </c>
      <c r="C4" t="s">
        <v>162</v>
      </c>
      <c r="D4">
        <v>1235353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2"/>
  <sheetViews>
    <sheetView tabSelected="1" workbookViewId="0">
      <selection activeCell="C12" sqref="C12"/>
    </sheetView>
  </sheetViews>
  <sheetFormatPr defaultColWidth="8.85546875" defaultRowHeight="15" x14ac:dyDescent="0.25"/>
  <cols>
    <col min="1" max="1" width="38.7109375" bestFit="1" customWidth="1"/>
    <col min="2" max="3" width="38.7109375" customWidth="1"/>
    <col min="4" max="4" width="20.5703125" customWidth="1"/>
    <col min="5" max="5" width="13.140625" style="17" bestFit="1" customWidth="1"/>
    <col min="6" max="6" width="13.5703125" style="39" bestFit="1" customWidth="1"/>
  </cols>
  <sheetData>
    <row r="1" spans="1:6" x14ac:dyDescent="0.25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  <c r="F1" s="34" t="s">
        <v>159</v>
      </c>
    </row>
    <row r="2" spans="1:6" x14ac:dyDescent="0.25">
      <c r="A2" s="18" t="s">
        <v>7</v>
      </c>
      <c r="B2" s="18">
        <v>0</v>
      </c>
      <c r="C2" s="3">
        <v>21</v>
      </c>
      <c r="D2" s="33">
        <v>6</v>
      </c>
      <c r="E2" s="21">
        <v>10000</v>
      </c>
      <c r="F2" s="35">
        <f>+inventario[[#This Row],[precio]]*inventario[[#This Row],[unds x paca]]</f>
        <v>60000</v>
      </c>
    </row>
    <row r="3" spans="1:6" x14ac:dyDescent="0.25">
      <c r="A3" s="18" t="s">
        <v>8</v>
      </c>
      <c r="B3" s="18">
        <v>1</v>
      </c>
      <c r="C3" s="3">
        <v>30</v>
      </c>
      <c r="D3" s="33">
        <v>3</v>
      </c>
      <c r="E3" s="21">
        <v>0</v>
      </c>
      <c r="F3" s="35">
        <f>+inventario[[#This Row],[precio]]*inventario[[#This Row],[unds x paca]]</f>
        <v>0</v>
      </c>
    </row>
    <row r="4" spans="1:6" x14ac:dyDescent="0.25">
      <c r="A4" s="18" t="s">
        <v>9</v>
      </c>
      <c r="B4" s="18">
        <v>8</v>
      </c>
      <c r="C4" s="3">
        <v>0</v>
      </c>
      <c r="D4" s="33">
        <v>11</v>
      </c>
      <c r="E4" s="21">
        <v>6000</v>
      </c>
      <c r="F4" s="35">
        <f>+inventario[[#This Row],[precio]]*inventario[[#This Row],[unds x paca]]</f>
        <v>66000</v>
      </c>
    </row>
    <row r="5" spans="1:6" x14ac:dyDescent="0.25">
      <c r="A5" s="18" t="s">
        <v>10</v>
      </c>
      <c r="B5" s="18">
        <v>0</v>
      </c>
      <c r="C5" s="3">
        <v>22</v>
      </c>
      <c r="D5" s="33">
        <v>3</v>
      </c>
      <c r="E5" s="21">
        <v>5000</v>
      </c>
      <c r="F5" s="35">
        <f>+inventario[[#This Row],[precio]]*inventario[[#This Row],[unds x paca]]</f>
        <v>15000</v>
      </c>
    </row>
    <row r="6" spans="1:6" x14ac:dyDescent="0.25">
      <c r="A6" s="18" t="s">
        <v>11</v>
      </c>
      <c r="B6" s="18">
        <v>1</v>
      </c>
      <c r="C6" s="3">
        <v>29</v>
      </c>
      <c r="D6" s="33">
        <v>2</v>
      </c>
      <c r="E6" s="21"/>
      <c r="F6" s="35">
        <f>+inventario[[#This Row],[precio]]*inventario[[#This Row],[unds x paca]]</f>
        <v>0</v>
      </c>
    </row>
    <row r="7" spans="1:6" x14ac:dyDescent="0.25">
      <c r="A7" s="18" t="s">
        <v>12</v>
      </c>
      <c r="B7" s="18">
        <v>4</v>
      </c>
      <c r="C7" s="3">
        <v>22</v>
      </c>
      <c r="D7" s="33">
        <v>6</v>
      </c>
      <c r="E7" s="21">
        <v>5500</v>
      </c>
      <c r="F7" s="35">
        <f>+inventario[[#This Row],[precio]]*inventario[[#This Row],[unds x paca]]</f>
        <v>33000</v>
      </c>
    </row>
    <row r="8" spans="1:6" x14ac:dyDescent="0.25">
      <c r="A8" s="18" t="s">
        <v>13</v>
      </c>
      <c r="B8" s="18">
        <v>9</v>
      </c>
      <c r="C8" s="3">
        <v>8</v>
      </c>
      <c r="D8" s="33">
        <v>11</v>
      </c>
      <c r="E8" s="21">
        <v>3000</v>
      </c>
      <c r="F8" s="35">
        <f>+inventario[[#This Row],[precio]]*inventario[[#This Row],[unds x paca]]</f>
        <v>33000</v>
      </c>
    </row>
    <row r="9" spans="1:6" x14ac:dyDescent="0.25">
      <c r="A9" s="18" t="s">
        <v>14</v>
      </c>
      <c r="B9" s="18">
        <v>3</v>
      </c>
      <c r="C9" s="3">
        <v>7</v>
      </c>
      <c r="D9" s="33">
        <v>7</v>
      </c>
      <c r="E9" s="21">
        <v>0</v>
      </c>
      <c r="F9" s="35">
        <f>+inventario[[#This Row],[precio]]*inventario[[#This Row],[unds x paca]]</f>
        <v>0</v>
      </c>
    </row>
    <row r="10" spans="1:6" x14ac:dyDescent="0.25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  <c r="F10" s="35">
        <f>+inventario[[#This Row],[precio]]*inventario[[#This Row],[unds x paca]]</f>
        <v>4000</v>
      </c>
    </row>
    <row r="11" spans="1:6" x14ac:dyDescent="0.25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  <c r="F11" s="35">
        <f>+inventario[[#This Row],[precio]]*inventario[[#This Row],[unds x paca]]</f>
        <v>27500</v>
      </c>
    </row>
    <row r="12" spans="1:6" x14ac:dyDescent="0.25">
      <c r="A12" s="18" t="s">
        <v>17</v>
      </c>
      <c r="B12" s="18">
        <v>2</v>
      </c>
      <c r="C12" s="3">
        <v>36</v>
      </c>
      <c r="D12" s="33">
        <v>1</v>
      </c>
      <c r="E12" s="21">
        <v>0</v>
      </c>
      <c r="F12" s="35">
        <f>+inventario[[#This Row],[precio]]*inventario[[#This Row],[unds x paca]]</f>
        <v>0</v>
      </c>
    </row>
    <row r="13" spans="1:6" x14ac:dyDescent="0.25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  <c r="F13" s="35">
        <f>+inventario[[#This Row],[precio]]*inventario[[#This Row],[unds x paca]]</f>
        <v>0</v>
      </c>
    </row>
    <row r="14" spans="1:6" x14ac:dyDescent="0.25">
      <c r="A14" s="18" t="s">
        <v>19</v>
      </c>
      <c r="B14" s="18">
        <v>0</v>
      </c>
      <c r="C14" s="3">
        <v>33</v>
      </c>
      <c r="D14" s="33">
        <v>6</v>
      </c>
      <c r="E14" s="21">
        <v>2000</v>
      </c>
      <c r="F14" s="35">
        <f>+inventario[[#This Row],[precio]]*inventario[[#This Row],[unds x paca]]</f>
        <v>12000</v>
      </c>
    </row>
    <row r="15" spans="1:6" x14ac:dyDescent="0.25">
      <c r="A15" s="18" t="s">
        <v>20</v>
      </c>
      <c r="B15" s="18">
        <v>4</v>
      </c>
      <c r="C15" s="3">
        <v>35</v>
      </c>
      <c r="D15" s="33">
        <v>10</v>
      </c>
      <c r="E15" s="21">
        <v>1000</v>
      </c>
      <c r="F15" s="35">
        <f>+inventario[[#This Row],[precio]]*inventario[[#This Row],[unds x paca]]</f>
        <v>10000</v>
      </c>
    </row>
    <row r="16" spans="1:6" x14ac:dyDescent="0.25">
      <c r="A16" s="18" t="s">
        <v>139</v>
      </c>
      <c r="B16" s="18">
        <v>1</v>
      </c>
      <c r="C16" s="3">
        <v>1</v>
      </c>
      <c r="D16" s="33">
        <v>10</v>
      </c>
      <c r="E16" s="21">
        <v>0</v>
      </c>
      <c r="F16" s="35">
        <f>+inventario[[#This Row],[precio]]*inventario[[#This Row],[unds x paca]]</f>
        <v>0</v>
      </c>
    </row>
    <row r="17" spans="1:6" x14ac:dyDescent="0.25">
      <c r="A17" s="18" t="s">
        <v>140</v>
      </c>
      <c r="B17" s="18">
        <v>5</v>
      </c>
      <c r="C17" s="3">
        <v>1</v>
      </c>
      <c r="D17" s="33">
        <v>1</v>
      </c>
      <c r="E17" s="21">
        <v>0</v>
      </c>
      <c r="F17" s="35">
        <f>+inventario[[#This Row],[precio]]*inventario[[#This Row],[unds x paca]]</f>
        <v>0</v>
      </c>
    </row>
    <row r="18" spans="1:6" x14ac:dyDescent="0.25">
      <c r="A18" s="18" t="s">
        <v>141</v>
      </c>
      <c r="B18" s="18">
        <v>3</v>
      </c>
      <c r="C18" s="3"/>
      <c r="D18" s="33">
        <v>10</v>
      </c>
      <c r="E18" s="22">
        <v>0</v>
      </c>
      <c r="F18" s="36">
        <f>+inventario[[#This Row],[precio]]*inventario[[#This Row],[unds x paca]]</f>
        <v>0</v>
      </c>
    </row>
    <row r="19" spans="1:6" x14ac:dyDescent="0.25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  <c r="F19" s="35">
        <f>+inventario[[#This Row],[precio]]*inventario[[#This Row],[unds x paca]]</f>
        <v>0</v>
      </c>
    </row>
    <row r="20" spans="1:6" x14ac:dyDescent="0.25">
      <c r="A20" s="18" t="s">
        <v>22</v>
      </c>
      <c r="B20" s="18">
        <v>2</v>
      </c>
      <c r="C20" s="3">
        <v>18</v>
      </c>
      <c r="D20" s="33">
        <v>2</v>
      </c>
      <c r="E20" s="21">
        <v>0</v>
      </c>
      <c r="F20" s="35">
        <f>+inventario[[#This Row],[precio]]*inventario[[#This Row],[unds x paca]]</f>
        <v>0</v>
      </c>
    </row>
    <row r="21" spans="1:6" x14ac:dyDescent="0.25">
      <c r="A21" s="18" t="s">
        <v>23</v>
      </c>
      <c r="B21" s="18">
        <v>2</v>
      </c>
      <c r="C21" s="3">
        <v>26</v>
      </c>
      <c r="D21" s="33">
        <v>8</v>
      </c>
      <c r="E21" s="21">
        <v>5500</v>
      </c>
      <c r="F21" s="35">
        <f>+inventario[[#This Row],[precio]]*inventario[[#This Row],[unds x paca]]</f>
        <v>44000</v>
      </c>
    </row>
    <row r="22" spans="1:6" x14ac:dyDescent="0.25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  <c r="F22" s="35">
        <f>+inventario[[#This Row],[precio]]*inventario[[#This Row],[unds x paca]]</f>
        <v>0</v>
      </c>
    </row>
    <row r="23" spans="1:6" x14ac:dyDescent="0.25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  <c r="F23" s="35">
        <f>+inventario[[#This Row],[precio]]*inventario[[#This Row],[unds x paca]]</f>
        <v>24000</v>
      </c>
    </row>
    <row r="24" spans="1:6" x14ac:dyDescent="0.25">
      <c r="A24" s="18" t="s">
        <v>26</v>
      </c>
      <c r="B24" s="18">
        <v>9</v>
      </c>
      <c r="C24" s="3">
        <v>20</v>
      </c>
      <c r="D24" s="33">
        <v>10</v>
      </c>
      <c r="E24" s="21">
        <v>2500</v>
      </c>
      <c r="F24" s="35">
        <f>+inventario[[#This Row],[precio]]*inventario[[#This Row],[unds x paca]]</f>
        <v>25000</v>
      </c>
    </row>
    <row r="25" spans="1:6" x14ac:dyDescent="0.25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  <c r="F25" s="35">
        <f>+inventario[[#This Row],[precio]]*inventario[[#This Row],[unds x paca]]</f>
        <v>12000</v>
      </c>
    </row>
    <row r="26" spans="1:6" x14ac:dyDescent="0.25">
      <c r="A26" s="18" t="s">
        <v>28</v>
      </c>
      <c r="B26" s="18">
        <v>1</v>
      </c>
      <c r="C26" s="3">
        <v>30</v>
      </c>
      <c r="D26" s="33">
        <v>10</v>
      </c>
      <c r="E26" s="21">
        <v>2000</v>
      </c>
      <c r="F26" s="35">
        <f>+inventario[[#This Row],[precio]]*inventario[[#This Row],[unds x paca]]</f>
        <v>20000</v>
      </c>
    </row>
    <row r="27" spans="1:6" x14ac:dyDescent="0.25">
      <c r="A27" s="18" t="s">
        <v>29</v>
      </c>
      <c r="B27" s="18">
        <v>5</v>
      </c>
      <c r="C27" s="3">
        <v>24</v>
      </c>
      <c r="D27" s="33">
        <v>1</v>
      </c>
      <c r="E27" s="21">
        <v>0</v>
      </c>
      <c r="F27" s="35">
        <f>+inventario[[#This Row],[precio]]*inventario[[#This Row],[unds x paca]]</f>
        <v>0</v>
      </c>
    </row>
    <row r="28" spans="1:6" x14ac:dyDescent="0.25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  <c r="F28" s="35">
        <f>+inventario[[#This Row],[precio]]*inventario[[#This Row],[unds x paca]]</f>
        <v>0</v>
      </c>
    </row>
    <row r="29" spans="1:6" x14ac:dyDescent="0.25">
      <c r="A29" s="18" t="s">
        <v>31</v>
      </c>
      <c r="B29" s="18">
        <v>4</v>
      </c>
      <c r="C29" s="3">
        <v>19</v>
      </c>
      <c r="D29" s="33">
        <v>0</v>
      </c>
      <c r="E29" s="21">
        <v>0</v>
      </c>
      <c r="F29" s="35">
        <f>+inventario[[#This Row],[precio]]*inventario[[#This Row],[unds x paca]]</f>
        <v>0</v>
      </c>
    </row>
    <row r="30" spans="1:6" x14ac:dyDescent="0.25">
      <c r="A30" s="18" t="s">
        <v>32</v>
      </c>
      <c r="B30" s="18">
        <v>3</v>
      </c>
      <c r="C30" s="3">
        <v>18</v>
      </c>
      <c r="D30" s="33">
        <v>10</v>
      </c>
      <c r="E30" s="21">
        <v>0</v>
      </c>
      <c r="F30" s="35">
        <f>+inventario[[#This Row],[precio]]*inventario[[#This Row],[unds x paca]]</f>
        <v>0</v>
      </c>
    </row>
    <row r="31" spans="1:6" x14ac:dyDescent="0.25">
      <c r="A31" s="18" t="s">
        <v>33</v>
      </c>
      <c r="B31" s="18">
        <v>1</v>
      </c>
      <c r="C31" s="3">
        <v>19</v>
      </c>
      <c r="D31" s="33">
        <v>2</v>
      </c>
      <c r="E31" s="21">
        <v>0</v>
      </c>
      <c r="F31" s="35">
        <f>+inventario[[#This Row],[precio]]*inventario[[#This Row],[unds x paca]]</f>
        <v>0</v>
      </c>
    </row>
    <row r="32" spans="1:6" x14ac:dyDescent="0.25">
      <c r="A32" s="18" t="s">
        <v>34</v>
      </c>
      <c r="B32" s="18">
        <v>1</v>
      </c>
      <c r="C32" s="3">
        <v>40</v>
      </c>
      <c r="D32" s="33">
        <v>2</v>
      </c>
      <c r="E32" s="21">
        <v>0</v>
      </c>
      <c r="F32" s="35">
        <f>+inventario[[#This Row],[precio]]*inventario[[#This Row],[unds x paca]]</f>
        <v>0</v>
      </c>
    </row>
    <row r="33" spans="1:6" x14ac:dyDescent="0.25">
      <c r="A33" s="18" t="s">
        <v>35</v>
      </c>
      <c r="B33" s="18">
        <v>2</v>
      </c>
      <c r="C33" s="3">
        <v>40</v>
      </c>
      <c r="D33" s="33">
        <v>2</v>
      </c>
      <c r="E33" s="21">
        <v>2000</v>
      </c>
      <c r="F33" s="35">
        <f>+inventario[[#This Row],[precio]]*inventario[[#This Row],[unds x paca]]</f>
        <v>4000</v>
      </c>
    </row>
    <row r="34" spans="1:6" x14ac:dyDescent="0.25">
      <c r="A34" s="18" t="s">
        <v>36</v>
      </c>
      <c r="B34" s="18">
        <v>3</v>
      </c>
      <c r="C34" s="3">
        <v>37</v>
      </c>
      <c r="D34" s="33">
        <v>8</v>
      </c>
      <c r="E34" s="21">
        <v>1600</v>
      </c>
      <c r="F34" s="35">
        <f>+inventario[[#This Row],[precio]]*inventario[[#This Row],[unds x paca]]</f>
        <v>12800</v>
      </c>
    </row>
    <row r="35" spans="1:6" x14ac:dyDescent="0.25">
      <c r="A35" s="18" t="s">
        <v>142</v>
      </c>
      <c r="B35" s="18">
        <v>0</v>
      </c>
      <c r="C35" s="3"/>
      <c r="D35" s="33">
        <v>5</v>
      </c>
      <c r="E35" s="21">
        <v>3400</v>
      </c>
      <c r="F35" s="35">
        <f>+inventario[[#This Row],[precio]]*inventario[[#This Row],[unds x paca]]</f>
        <v>17000</v>
      </c>
    </row>
    <row r="36" spans="1:6" x14ac:dyDescent="0.25">
      <c r="A36" s="18" t="s">
        <v>37</v>
      </c>
      <c r="B36" s="18">
        <v>3</v>
      </c>
      <c r="C36" s="3">
        <v>26</v>
      </c>
      <c r="D36" s="33">
        <v>2</v>
      </c>
      <c r="E36" s="21">
        <v>3500</v>
      </c>
      <c r="F36" s="35">
        <f>+inventario[[#This Row],[precio]]*inventario[[#This Row],[unds x paca]]</f>
        <v>7000</v>
      </c>
    </row>
    <row r="37" spans="1:6" x14ac:dyDescent="0.25">
      <c r="A37" s="18" t="s">
        <v>38</v>
      </c>
      <c r="B37" s="18">
        <v>2</v>
      </c>
      <c r="C37" s="3">
        <v>38</v>
      </c>
      <c r="D37" s="33">
        <v>11</v>
      </c>
      <c r="E37" s="21">
        <v>3500</v>
      </c>
      <c r="F37" s="35">
        <f>+inventario[[#This Row],[precio]]*inventario[[#This Row],[unds x paca]]</f>
        <v>38500</v>
      </c>
    </row>
    <row r="38" spans="1:6" x14ac:dyDescent="0.25">
      <c r="A38" s="18" t="s">
        <v>39</v>
      </c>
      <c r="B38" s="18">
        <v>3</v>
      </c>
      <c r="C38" s="3">
        <v>14</v>
      </c>
      <c r="D38" s="33">
        <v>6</v>
      </c>
      <c r="E38" s="21">
        <v>3500</v>
      </c>
      <c r="F38" s="35">
        <f>+inventario[[#This Row],[precio]]*inventario[[#This Row],[unds x paca]]</f>
        <v>21000</v>
      </c>
    </row>
    <row r="39" spans="1:6" x14ac:dyDescent="0.25">
      <c r="A39" s="18" t="s">
        <v>40</v>
      </c>
      <c r="B39" s="18">
        <v>5</v>
      </c>
      <c r="C39" s="3">
        <v>19</v>
      </c>
      <c r="D39" s="33">
        <v>8</v>
      </c>
      <c r="E39" s="21">
        <v>0</v>
      </c>
      <c r="F39" s="35">
        <f>+inventario[[#This Row],[precio]]*inventario[[#This Row],[unds x paca]]</f>
        <v>0</v>
      </c>
    </row>
    <row r="40" spans="1:6" x14ac:dyDescent="0.25">
      <c r="A40" s="18" t="s">
        <v>41</v>
      </c>
      <c r="B40" s="18">
        <v>4</v>
      </c>
      <c r="C40" s="3">
        <v>8</v>
      </c>
      <c r="D40" s="33">
        <v>11</v>
      </c>
      <c r="E40" s="21">
        <v>0</v>
      </c>
      <c r="F40" s="35">
        <f>+inventario[[#This Row],[precio]]*inventario[[#This Row],[unds x paca]]</f>
        <v>0</v>
      </c>
    </row>
    <row r="41" spans="1:6" x14ac:dyDescent="0.25">
      <c r="A41" s="18" t="s">
        <v>42</v>
      </c>
      <c r="B41" s="18">
        <v>3</v>
      </c>
      <c r="C41" s="3">
        <v>36</v>
      </c>
      <c r="D41" s="33">
        <v>0</v>
      </c>
      <c r="E41" s="21">
        <v>0</v>
      </c>
      <c r="F41" s="35">
        <f>+inventario[[#This Row],[precio]]*inventario[[#This Row],[unds x paca]]</f>
        <v>0</v>
      </c>
    </row>
    <row r="42" spans="1:6" x14ac:dyDescent="0.25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  <c r="F42" s="35">
        <f>+inventario[[#This Row],[precio]]*inventario[[#This Row],[unds x paca]]</f>
        <v>0</v>
      </c>
    </row>
    <row r="43" spans="1:6" x14ac:dyDescent="0.25">
      <c r="A43" s="18" t="s">
        <v>44</v>
      </c>
      <c r="B43" s="18">
        <v>2</v>
      </c>
      <c r="C43" s="3">
        <v>7</v>
      </c>
      <c r="D43" s="33">
        <v>5</v>
      </c>
      <c r="E43" s="21">
        <v>0</v>
      </c>
      <c r="F43" s="35">
        <f>+inventario[[#This Row],[precio]]*inventario[[#This Row],[unds x paca]]</f>
        <v>0</v>
      </c>
    </row>
    <row r="44" spans="1:6" x14ac:dyDescent="0.25">
      <c r="A44" s="18" t="s">
        <v>45</v>
      </c>
      <c r="B44" s="18">
        <v>1</v>
      </c>
      <c r="C44" s="3">
        <v>36</v>
      </c>
      <c r="D44" s="33">
        <v>4</v>
      </c>
      <c r="E44" s="21">
        <v>0</v>
      </c>
      <c r="F44" s="35">
        <f>+inventario[[#This Row],[precio]]*inventario[[#This Row],[unds x paca]]</f>
        <v>0</v>
      </c>
    </row>
    <row r="45" spans="1:6" x14ac:dyDescent="0.25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  <c r="F45" s="35">
        <f>+inventario[[#This Row],[precio]]*inventario[[#This Row],[unds x paca]]</f>
        <v>0</v>
      </c>
    </row>
    <row r="46" spans="1:6" x14ac:dyDescent="0.25">
      <c r="A46" s="18" t="s">
        <v>47</v>
      </c>
      <c r="B46" s="18">
        <v>3</v>
      </c>
      <c r="C46" s="3">
        <v>7</v>
      </c>
      <c r="D46" s="33">
        <v>10</v>
      </c>
      <c r="E46" s="21">
        <v>0</v>
      </c>
      <c r="F46" s="35">
        <f>+inventario[[#This Row],[precio]]*inventario[[#This Row],[unds x paca]]</f>
        <v>0</v>
      </c>
    </row>
    <row r="47" spans="1:6" x14ac:dyDescent="0.25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  <c r="F47" s="35">
        <f>+inventario[[#This Row],[precio]]*inventario[[#This Row],[unds x paca]]</f>
        <v>10500</v>
      </c>
    </row>
    <row r="48" spans="1:6" x14ac:dyDescent="0.25">
      <c r="A48" s="18" t="s">
        <v>49</v>
      </c>
      <c r="B48" s="18">
        <v>3</v>
      </c>
      <c r="C48" s="3">
        <v>9</v>
      </c>
      <c r="D48" s="33">
        <v>8</v>
      </c>
      <c r="E48" s="21">
        <v>3500</v>
      </c>
      <c r="F48" s="35">
        <f>+inventario[[#This Row],[precio]]*inventario[[#This Row],[unds x paca]]</f>
        <v>28000</v>
      </c>
    </row>
    <row r="49" spans="1:6" x14ac:dyDescent="0.25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  <c r="F49" s="35">
        <f>+inventario[[#This Row],[precio]]*inventario[[#This Row],[unds x paca]]</f>
        <v>10500</v>
      </c>
    </row>
    <row r="50" spans="1:6" x14ac:dyDescent="0.25">
      <c r="A50" s="18" t="s">
        <v>51</v>
      </c>
      <c r="B50" s="18">
        <v>4</v>
      </c>
      <c r="C50" s="3">
        <v>8</v>
      </c>
      <c r="D50" s="33">
        <v>10</v>
      </c>
      <c r="E50" s="21">
        <v>0</v>
      </c>
      <c r="F50" s="35">
        <f>+inventario[[#This Row],[precio]]*inventario[[#This Row],[unds x paca]]</f>
        <v>0</v>
      </c>
    </row>
    <row r="51" spans="1:6" x14ac:dyDescent="0.25">
      <c r="A51" s="18" t="s">
        <v>52</v>
      </c>
      <c r="B51" s="18">
        <v>6</v>
      </c>
      <c r="C51" s="3">
        <v>32</v>
      </c>
      <c r="D51" s="33">
        <v>8</v>
      </c>
      <c r="E51" s="21">
        <v>0</v>
      </c>
      <c r="F51" s="35">
        <f>+inventario[[#This Row],[precio]]*inventario[[#This Row],[unds x paca]]</f>
        <v>0</v>
      </c>
    </row>
    <row r="52" spans="1:6" x14ac:dyDescent="0.25">
      <c r="A52" s="18" t="s">
        <v>53</v>
      </c>
      <c r="B52" s="18">
        <v>6</v>
      </c>
      <c r="C52" s="3">
        <v>12</v>
      </c>
      <c r="D52" s="33">
        <v>6</v>
      </c>
      <c r="E52" s="21">
        <v>0</v>
      </c>
      <c r="F52" s="35">
        <f>+inventario[[#This Row],[precio]]*inventario[[#This Row],[unds x paca]]</f>
        <v>0</v>
      </c>
    </row>
    <row r="53" spans="1:6" x14ac:dyDescent="0.25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  <c r="F53" s="35">
        <f>+inventario[[#This Row],[precio]]*inventario[[#This Row],[unds x paca]]</f>
        <v>24000</v>
      </c>
    </row>
    <row r="54" spans="1:6" x14ac:dyDescent="0.25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  <c r="F54" s="35">
        <f>+inventario[[#This Row],[precio]]*inventario[[#This Row],[unds x paca]]</f>
        <v>8000</v>
      </c>
    </row>
    <row r="55" spans="1:6" x14ac:dyDescent="0.25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  <c r="F55" s="35">
        <f>+inventario[[#This Row],[precio]]*inventario[[#This Row],[unds x paca]]</f>
        <v>44000</v>
      </c>
    </row>
    <row r="56" spans="1:6" x14ac:dyDescent="0.25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  <c r="F56" s="35">
        <f>+inventario[[#This Row],[precio]]*inventario[[#This Row],[unds x paca]]</f>
        <v>32000</v>
      </c>
    </row>
    <row r="57" spans="1:6" x14ac:dyDescent="0.25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  <c r="F57" s="35">
        <f>+inventario[[#This Row],[precio]]*inventario[[#This Row],[unds x paca]]</f>
        <v>13000</v>
      </c>
    </row>
    <row r="58" spans="1:6" x14ac:dyDescent="0.25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  <c r="F58" s="35">
        <f>+inventario[[#This Row],[precio]]*inventario[[#This Row],[unds x paca]]</f>
        <v>65000</v>
      </c>
    </row>
    <row r="59" spans="1:6" x14ac:dyDescent="0.25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  <c r="F59" s="35">
        <f>+inventario[[#This Row],[precio]]*inventario[[#This Row],[unds x paca]]</f>
        <v>0</v>
      </c>
    </row>
    <row r="60" spans="1:6" x14ac:dyDescent="0.25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  <c r="F60" s="35">
        <f>+inventario[[#This Row],[precio]]*inventario[[#This Row],[unds x paca]]</f>
        <v>71500</v>
      </c>
    </row>
    <row r="61" spans="1:6" x14ac:dyDescent="0.25">
      <c r="A61" s="18" t="s">
        <v>62</v>
      </c>
      <c r="B61" s="18">
        <v>3</v>
      </c>
      <c r="C61" s="3">
        <v>35</v>
      </c>
      <c r="D61" s="33">
        <v>7</v>
      </c>
      <c r="E61" s="21">
        <v>0</v>
      </c>
      <c r="F61" s="35">
        <f>+inventario[[#This Row],[precio]]*inventario[[#This Row],[unds x paca]]</f>
        <v>0</v>
      </c>
    </row>
    <row r="62" spans="1:6" x14ac:dyDescent="0.25">
      <c r="A62" s="18" t="s">
        <v>63</v>
      </c>
      <c r="B62" s="18">
        <v>0</v>
      </c>
      <c r="C62" s="3">
        <v>7</v>
      </c>
      <c r="D62" s="33">
        <v>12</v>
      </c>
      <c r="E62" s="21">
        <v>0</v>
      </c>
      <c r="F62" s="35">
        <f>+inventario[[#This Row],[precio]]*inventario[[#This Row],[unds x paca]]</f>
        <v>0</v>
      </c>
    </row>
    <row r="63" spans="1:6" x14ac:dyDescent="0.25">
      <c r="A63" s="18" t="s">
        <v>64</v>
      </c>
      <c r="B63" s="18">
        <v>4</v>
      </c>
      <c r="C63" s="3">
        <v>25</v>
      </c>
      <c r="D63" s="33">
        <v>1</v>
      </c>
      <c r="E63" s="21">
        <v>0</v>
      </c>
      <c r="F63" s="35">
        <f>+inventario[[#This Row],[precio]]*inventario[[#This Row],[unds x paca]]</f>
        <v>0</v>
      </c>
    </row>
    <row r="64" spans="1:6" x14ac:dyDescent="0.25">
      <c r="A64" s="18" t="s">
        <v>65</v>
      </c>
      <c r="B64" s="18">
        <v>5</v>
      </c>
      <c r="C64" s="3">
        <v>24</v>
      </c>
      <c r="D64" s="33">
        <v>1</v>
      </c>
      <c r="E64" s="21">
        <v>0</v>
      </c>
      <c r="F64" s="35">
        <f>+inventario[[#This Row],[precio]]*inventario[[#This Row],[unds x paca]]</f>
        <v>0</v>
      </c>
    </row>
    <row r="65" spans="1:6" x14ac:dyDescent="0.25">
      <c r="A65" s="19" t="s">
        <v>66</v>
      </c>
      <c r="B65" s="19">
        <v>2</v>
      </c>
      <c r="C65" s="3">
        <v>19</v>
      </c>
      <c r="D65" s="33">
        <v>2</v>
      </c>
      <c r="E65" s="23">
        <v>0</v>
      </c>
      <c r="F65" s="37">
        <f>+inventario[[#This Row],[precio]]*inventario[[#This Row],[unds x paca]]</f>
        <v>0</v>
      </c>
    </row>
    <row r="66" spans="1:6" x14ac:dyDescent="0.25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  <c r="F66" s="37">
        <f>+inventario[[#This Row],[precio]]*inventario[[#This Row],[unds x paca]]</f>
        <v>12500</v>
      </c>
    </row>
    <row r="67" spans="1:6" x14ac:dyDescent="0.25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  <c r="F67" s="37">
        <f>+inventario[[#This Row],[precio]]*inventario[[#This Row],[unds x paca]]</f>
        <v>1300</v>
      </c>
    </row>
    <row r="68" spans="1:6" x14ac:dyDescent="0.25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  <c r="F68" s="37">
        <f>+inventario[[#This Row],[precio]]*inventario[[#This Row],[unds x paca]]</f>
        <v>40000</v>
      </c>
    </row>
    <row r="69" spans="1:6" x14ac:dyDescent="0.25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  <c r="F69" s="37">
        <f>+inventario[[#This Row],[precio]]*inventario[[#This Row],[unds x paca]]</f>
        <v>27500</v>
      </c>
    </row>
    <row r="70" spans="1:6" x14ac:dyDescent="0.25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  <c r="F70" s="37">
        <f>+inventario[[#This Row],[precio]]*inventario[[#This Row],[unds x paca]]</f>
        <v>0</v>
      </c>
    </row>
    <row r="71" spans="1:6" x14ac:dyDescent="0.25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  <c r="F71" s="37">
        <f>+inventario[[#This Row],[precio]]*inventario[[#This Row],[unds x paca]]</f>
        <v>12800</v>
      </c>
    </row>
    <row r="72" spans="1:6" x14ac:dyDescent="0.25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  <c r="F72" s="37">
        <f>+inventario[[#This Row],[precio]]*inventario[[#This Row],[unds x paca]]</f>
        <v>1600</v>
      </c>
    </row>
    <row r="73" spans="1:6" x14ac:dyDescent="0.25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  <c r="F73" s="37">
        <f>+inventario[[#This Row],[precio]]*inventario[[#This Row],[unds x paca]]</f>
        <v>7500</v>
      </c>
    </row>
    <row r="74" spans="1:6" x14ac:dyDescent="0.25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  <c r="F74" s="35">
        <f>+inventario[[#This Row],[precio]]*inventario[[#This Row],[unds x paca]]</f>
        <v>22000</v>
      </c>
    </row>
    <row r="75" spans="1:6" x14ac:dyDescent="0.25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  <c r="F75" s="35">
        <f>+inventario[[#This Row],[precio]]*inventario[[#This Row],[unds x paca]]</f>
        <v>3200</v>
      </c>
    </row>
    <row r="76" spans="1:6" x14ac:dyDescent="0.25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  <c r="F76" s="35">
        <f>+inventario[[#This Row],[precio]]*inventario[[#This Row],[unds x paca]]</f>
        <v>16000</v>
      </c>
    </row>
    <row r="77" spans="1:6" x14ac:dyDescent="0.25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  <c r="F77" s="35">
        <f>+inventario[[#This Row],[precio]]*inventario[[#This Row],[unds x paca]]</f>
        <v>17600</v>
      </c>
    </row>
    <row r="78" spans="1:6" x14ac:dyDescent="0.25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  <c r="F78" s="35">
        <f>+inventario[[#This Row],[precio]]*inventario[[#This Row],[unds x paca]]</f>
        <v>20000</v>
      </c>
    </row>
    <row r="79" spans="1:6" x14ac:dyDescent="0.25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  <c r="F79" s="35">
        <f>+inventario[[#This Row],[precio]]*inventario[[#This Row],[unds x paca]]</f>
        <v>35000</v>
      </c>
    </row>
    <row r="80" spans="1:6" x14ac:dyDescent="0.25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  <c r="F80" s="35">
        <f>+inventario[[#This Row],[precio]]*inventario[[#This Row],[unds x paca]]</f>
        <v>132000</v>
      </c>
    </row>
    <row r="81" spans="1:6" x14ac:dyDescent="0.25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  <c r="F81" s="35">
        <f>+inventario[[#This Row],[precio]]*inventario[[#This Row],[unds x paca]]</f>
        <v>132000</v>
      </c>
    </row>
    <row r="82" spans="1:6" x14ac:dyDescent="0.25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  <c r="F82" s="35">
        <f>+inventario[[#This Row],[precio]]*inventario[[#This Row],[unds x paca]]</f>
        <v>66000</v>
      </c>
    </row>
    <row r="83" spans="1:6" x14ac:dyDescent="0.25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  <c r="F83" s="35">
        <f>+inventario[[#This Row],[precio]]*inventario[[#This Row],[unds x paca]]</f>
        <v>49500</v>
      </c>
    </row>
    <row r="84" spans="1:6" x14ac:dyDescent="0.25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  <c r="F84" s="35">
        <f>+inventario[[#This Row],[precio]]*inventario[[#This Row],[unds x paca]]</f>
        <v>60500</v>
      </c>
    </row>
    <row r="85" spans="1:6" x14ac:dyDescent="0.25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  <c r="F85" s="35">
        <f>+inventario[[#This Row],[precio]]*inventario[[#This Row],[unds x paca]]</f>
        <v>55000</v>
      </c>
    </row>
    <row r="86" spans="1:6" x14ac:dyDescent="0.25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  <c r="F86" s="35">
        <f>+inventario[[#This Row],[precio]]*inventario[[#This Row],[unds x paca]]</f>
        <v>57600</v>
      </c>
    </row>
    <row r="87" spans="1:6" x14ac:dyDescent="0.25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  <c r="F87" s="35">
        <f>+inventario[[#This Row],[precio]]*inventario[[#This Row],[unds x paca]]</f>
        <v>43200</v>
      </c>
    </row>
    <row r="88" spans="1:6" x14ac:dyDescent="0.25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  <c r="F88" s="35">
        <f>+inventario[[#This Row],[precio]]*inventario[[#This Row],[unds x paca]]</f>
        <v>82500</v>
      </c>
    </row>
    <row r="89" spans="1:6" x14ac:dyDescent="0.25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  <c r="F89" s="35">
        <f>+inventario[[#This Row],[precio]]*inventario[[#This Row],[unds x paca]]</f>
        <v>48000</v>
      </c>
    </row>
    <row r="90" spans="1:6" x14ac:dyDescent="0.25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  <c r="F90" s="35">
        <f>+inventario[[#This Row],[precio]]*inventario[[#This Row],[unds x paca]]</f>
        <v>7000</v>
      </c>
    </row>
    <row r="91" spans="1:6" x14ac:dyDescent="0.25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  <c r="F91" s="35">
        <f>+inventario[[#This Row],[precio]]*inventario[[#This Row],[unds x paca]]</f>
        <v>38500</v>
      </c>
    </row>
    <row r="92" spans="1:6" x14ac:dyDescent="0.25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  <c r="F92" s="35">
        <f>+inventario[[#This Row],[precio]]*inventario[[#This Row],[unds x paca]]</f>
        <v>0</v>
      </c>
    </row>
    <row r="93" spans="1:6" x14ac:dyDescent="0.25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  <c r="F93" s="35">
        <f>+inventario[[#This Row],[precio]]*inventario[[#This Row],[unds x paca]]</f>
        <v>30000</v>
      </c>
    </row>
    <row r="94" spans="1:6" x14ac:dyDescent="0.25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  <c r="F94" s="35">
        <f>+inventario[[#This Row],[precio]]*inventario[[#This Row],[unds x paca]]</f>
        <v>24000</v>
      </c>
    </row>
    <row r="95" spans="1:6" x14ac:dyDescent="0.25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  <c r="F95" s="35">
        <f>+inventario[[#This Row],[precio]]*inventario[[#This Row],[unds x paca]]</f>
        <v>6000</v>
      </c>
    </row>
    <row r="96" spans="1:6" x14ac:dyDescent="0.25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  <c r="F96" s="35">
        <f>+inventario[[#This Row],[precio]]*inventario[[#This Row],[unds x paca]]</f>
        <v>96000</v>
      </c>
    </row>
    <row r="97" spans="1:6" x14ac:dyDescent="0.25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  <c r="F97" s="35">
        <f>+inventario[[#This Row],[precio]]*inventario[[#This Row],[unds x paca]]</f>
        <v>108000</v>
      </c>
    </row>
    <row r="98" spans="1:6" x14ac:dyDescent="0.25">
      <c r="A98" s="18" t="s">
        <v>98</v>
      </c>
      <c r="B98" s="18">
        <v>2</v>
      </c>
      <c r="C98" s="3">
        <v>17</v>
      </c>
      <c r="D98" s="33">
        <v>1</v>
      </c>
      <c r="E98" s="21">
        <v>0</v>
      </c>
      <c r="F98" s="35">
        <f>+inventario[[#This Row],[precio]]*inventario[[#This Row],[unds x paca]]</f>
        <v>0</v>
      </c>
    </row>
    <row r="99" spans="1:6" x14ac:dyDescent="0.25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  <c r="F99" s="35">
        <f>+inventario[[#This Row],[precio]]*inventario[[#This Row],[unds x paca]]</f>
        <v>190000</v>
      </c>
    </row>
    <row r="100" spans="1:6" x14ac:dyDescent="0.25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  <c r="F100" s="35">
        <f>+inventario[[#This Row],[precio]]*inventario[[#This Row],[unds x paca]]</f>
        <v>140000</v>
      </c>
    </row>
    <row r="101" spans="1:6" x14ac:dyDescent="0.25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  <c r="F101" s="35">
        <f>+inventario[[#This Row],[precio]]*inventario[[#This Row],[unds x paca]]</f>
        <v>258500</v>
      </c>
    </row>
    <row r="102" spans="1:6" x14ac:dyDescent="0.25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  <c r="F102" s="35">
        <f>+inventario[[#This Row],[precio]]*inventario[[#This Row],[unds x paca]]</f>
        <v>235000</v>
      </c>
    </row>
    <row r="103" spans="1:6" x14ac:dyDescent="0.25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  <c r="F103" s="35">
        <f>+inventario[[#This Row],[precio]]*inventario[[#This Row],[unds x paca]]</f>
        <v>42000</v>
      </c>
    </row>
    <row r="104" spans="1:6" x14ac:dyDescent="0.25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  <c r="F104" s="35">
        <f>+inventario[[#This Row],[precio]]*inventario[[#This Row],[unds x paca]]</f>
        <v>171500</v>
      </c>
    </row>
    <row r="105" spans="1:6" x14ac:dyDescent="0.25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  <c r="F105" s="35">
        <f>+inventario[[#This Row],[precio]]*inventario[[#This Row],[unds x paca]]</f>
        <v>88000</v>
      </c>
    </row>
    <row r="106" spans="1:6" x14ac:dyDescent="0.25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  <c r="F106" s="35">
        <f>+inventario[[#This Row],[precio]]*inventario[[#This Row],[unds x paca]]</f>
        <v>168000</v>
      </c>
    </row>
    <row r="107" spans="1:6" x14ac:dyDescent="0.25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  <c r="F107" s="35">
        <f>+inventario[[#This Row],[precio]]*inventario[[#This Row],[unds x paca]]</f>
        <v>24000</v>
      </c>
    </row>
    <row r="108" spans="1:6" x14ac:dyDescent="0.25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  <c r="F108" s="35">
        <f>+inventario[[#This Row],[precio]]*inventario[[#This Row],[unds x paca]]</f>
        <v>42000</v>
      </c>
    </row>
    <row r="109" spans="1:6" x14ac:dyDescent="0.25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  <c r="F109" s="35">
        <f>+inventario[[#This Row],[precio]]*inventario[[#This Row],[unds x paca]]</f>
        <v>220000</v>
      </c>
    </row>
    <row r="110" spans="1:6" x14ac:dyDescent="0.25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  <c r="F110" s="35">
        <f>+inventario[[#This Row],[precio]]*inventario[[#This Row],[unds x paca]]</f>
        <v>0</v>
      </c>
    </row>
    <row r="111" spans="1:6" x14ac:dyDescent="0.25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  <c r="F111" s="35">
        <f>+inventario[[#This Row],[precio]]*inventario[[#This Row],[unds x paca]]</f>
        <v>460000</v>
      </c>
    </row>
    <row r="112" spans="1:6" x14ac:dyDescent="0.25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  <c r="F112" s="35">
        <f>+inventario[[#This Row],[precio]]*inventario[[#This Row],[unds x paca]]</f>
        <v>294000</v>
      </c>
    </row>
    <row r="113" spans="1:6" x14ac:dyDescent="0.25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  <c r="F113" s="35">
        <f>+inventario[[#This Row],[precio]]*inventario[[#This Row],[unds x paca]]</f>
        <v>506000</v>
      </c>
    </row>
    <row r="114" spans="1:6" x14ac:dyDescent="0.25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  <c r="F114" s="35">
        <f>+inventario[[#This Row],[precio]]*inventario[[#This Row],[unds x paca]]</f>
        <v>441000</v>
      </c>
    </row>
    <row r="115" spans="1:6" x14ac:dyDescent="0.25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  <c r="F115" s="35">
        <f>+inventario[[#This Row],[precio]]*inventario[[#This Row],[unds x paca]]</f>
        <v>246000</v>
      </c>
    </row>
    <row r="116" spans="1:6" x14ac:dyDescent="0.25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  <c r="F116" s="35">
        <f>+inventario[[#This Row],[precio]]*inventario[[#This Row],[unds x paca]]</f>
        <v>495000</v>
      </c>
    </row>
    <row r="117" spans="1:6" x14ac:dyDescent="0.25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  <c r="F117" s="35">
        <f>+inventario[[#This Row],[precio]]*inventario[[#This Row],[unds x paca]]</f>
        <v>290000</v>
      </c>
    </row>
    <row r="118" spans="1:6" x14ac:dyDescent="0.25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  <c r="F118" s="35">
        <f>+inventario[[#This Row],[precio]]*inventario[[#This Row],[unds x paca]]</f>
        <v>194000</v>
      </c>
    </row>
    <row r="119" spans="1:6" x14ac:dyDescent="0.25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  <c r="F119" s="35">
        <f>+inventario[[#This Row],[precio]]*inventario[[#This Row],[unds x paca]]</f>
        <v>0</v>
      </c>
    </row>
    <row r="120" spans="1:6" x14ac:dyDescent="0.25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  <c r="F120" s="35">
        <f>+inventario[[#This Row],[precio]]*inventario[[#This Row],[unds x paca]]</f>
        <v>0</v>
      </c>
    </row>
    <row r="121" spans="1:6" x14ac:dyDescent="0.25">
      <c r="A121" s="18" t="s">
        <v>121</v>
      </c>
      <c r="B121" s="18">
        <v>3</v>
      </c>
      <c r="C121" s="3">
        <v>16</v>
      </c>
      <c r="D121" s="33">
        <v>9</v>
      </c>
      <c r="E121" s="21">
        <v>106000</v>
      </c>
      <c r="F121" s="35">
        <f>+inventario[[#This Row],[precio]]*inventario[[#This Row],[unds x paca]]</f>
        <v>954000</v>
      </c>
    </row>
    <row r="122" spans="1:6" x14ac:dyDescent="0.25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  <c r="F122" s="38">
        <f>+inventario[[#This Row],[precio]]*inventario[[#This Row],[unds x paca]]</f>
        <v>212000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workbookViewId="0">
      <selection activeCell="A6" sqref="A6:B10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5" width="20" customWidth="1"/>
    <col min="6" max="6" width="11.28515625" bestFit="1" customWidth="1"/>
  </cols>
  <sheetData>
    <row r="1" spans="1:6" x14ac:dyDescent="0.25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F2"/>
  <sheetViews>
    <sheetView workbookViewId="0">
      <selection activeCell="A5" sqref="A5:B8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3" width="38.7109375" bestFit="1" customWidth="1"/>
    <col min="4" max="4" width="11" bestFit="1" customWidth="1"/>
    <col min="5" max="5" width="14.85546875" bestFit="1" customWidth="1"/>
    <col min="6" max="6" width="9.5703125" bestFit="1" customWidth="1"/>
  </cols>
  <sheetData>
    <row r="1" spans="1:6" x14ac:dyDescent="0.25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defaultColWidth="8.85546875"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25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25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25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25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25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25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25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25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25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25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25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25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25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25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25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25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25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25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25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25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25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25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25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25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25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25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25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25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25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25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25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25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25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25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25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25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25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25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25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25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25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25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25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25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25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25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25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25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25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25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25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25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25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25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25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25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25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25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25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25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25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25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25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25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25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25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25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25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25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25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25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25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25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25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25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25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25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25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25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25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25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25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25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25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25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25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25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25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25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25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25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25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25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25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25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25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25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25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25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25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25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25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25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25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25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25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25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25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25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25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25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25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25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25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25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25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25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25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25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25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25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25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25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25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25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25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25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25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25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25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25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25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25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25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25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25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25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25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25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25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25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25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25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25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25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25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25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25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25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25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25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25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25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25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25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25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25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25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25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25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25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25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25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25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25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25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25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25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25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25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25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25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25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25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25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25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25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25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25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25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25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25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25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25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25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25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25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25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25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25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25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25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25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25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25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25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25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25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25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25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25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25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25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25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25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25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25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25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25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25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25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25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25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25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25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25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25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25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25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25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25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25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25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25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25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25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25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25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25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25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25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25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25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25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25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25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25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25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25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25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25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25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25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25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25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25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25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25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25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25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25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25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25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25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25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25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25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25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25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25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25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25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25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25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25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25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25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25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25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25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25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25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25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25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25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25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25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25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25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25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25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25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25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25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25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25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25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25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25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25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25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25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25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25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25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25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25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25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25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25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25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25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25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25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25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25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25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25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25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25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25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25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25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25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25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25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25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25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25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25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25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25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25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25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25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25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25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25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25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25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25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25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25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25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25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25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25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25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25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25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25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25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25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25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25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25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25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25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25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25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25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25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25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25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25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25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25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25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25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25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25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25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25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25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25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25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25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25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25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25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25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25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25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25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25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25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25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25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25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25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25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25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25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25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25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25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25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25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25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25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25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25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25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25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25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25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25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25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25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25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25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25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25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25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25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25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25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25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25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25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25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25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25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25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25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25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25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25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25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25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25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25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25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25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25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25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25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25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25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25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25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25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25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25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25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25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25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25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25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25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25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25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25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25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25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25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25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25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25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25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25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25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25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25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25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25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25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25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25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25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25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25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25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25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25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25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25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25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25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25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25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25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25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25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25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25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25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25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25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25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25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25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25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25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25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25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25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25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25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25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25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25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25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25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25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25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25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25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25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25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25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25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25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25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25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25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25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25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25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25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25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25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25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25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25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25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25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25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25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25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25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25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25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25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25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25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25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25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25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25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25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25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25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25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25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25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25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25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25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25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25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25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25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25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25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25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25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25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25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25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25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25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25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25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25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25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25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25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25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25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25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25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25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25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25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25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25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25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25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25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25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25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25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25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25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25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25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25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25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25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25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25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25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25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25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25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25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25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25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25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25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25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25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25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25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25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25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25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25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25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25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25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25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25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25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25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25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25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25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25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25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25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25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25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25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25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25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25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25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25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25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25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25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25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25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25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25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25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25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25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25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25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25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25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25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25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25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25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25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25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25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25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25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25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25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25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25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25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25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25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25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25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25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25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25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25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25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25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25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25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25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25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25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25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25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25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25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25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25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25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25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25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25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25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25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25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25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25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25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25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25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25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25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25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25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25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25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25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25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25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25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25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25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25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25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25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25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25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25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25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25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25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25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25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25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25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25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25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25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25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25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25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25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25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25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25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25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25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25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25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25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25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25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25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25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25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25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25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25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25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25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25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25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25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25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25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25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25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25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25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25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25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25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25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25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25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25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25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25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25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25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25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25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25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25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25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25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25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25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25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25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25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25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25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25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25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25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25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25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25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25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25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25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25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25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25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25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25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25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25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25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25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25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25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25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25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25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25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25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25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25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25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25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25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25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25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25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25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25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25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25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25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25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25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25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25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25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25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25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25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25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25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25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25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25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25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25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25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25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25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25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25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25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25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25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25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25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25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25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25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25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25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25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25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25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25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25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25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25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25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25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25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25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25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25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25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25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25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25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25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25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25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25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25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25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25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25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25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25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25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25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25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25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25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25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25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25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25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25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25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25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25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25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25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25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25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25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25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25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25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25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25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25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25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25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25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25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25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25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25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25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25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25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25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25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25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25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25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25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workbookViewId="0">
      <selection activeCell="M5" sqref="M5"/>
    </sheetView>
  </sheetViews>
  <sheetFormatPr defaultColWidth="11.42578125" defaultRowHeight="15" x14ac:dyDescent="0.25"/>
  <cols>
    <col min="1" max="1" width="20.7109375" bestFit="1" customWidth="1"/>
  </cols>
  <sheetData>
    <row r="1" spans="1:1" x14ac:dyDescent="0.25">
      <c r="A1" t="s">
        <v>154</v>
      </c>
    </row>
    <row r="2" spans="1:1" x14ac:dyDescent="0.25">
      <c r="A2" t="s">
        <v>150</v>
      </c>
    </row>
    <row r="3" spans="1:1" x14ac:dyDescent="0.25">
      <c r="A3" t="s">
        <v>151</v>
      </c>
    </row>
    <row r="4" spans="1:1" x14ac:dyDescent="0.25">
      <c r="A4" t="s">
        <v>152</v>
      </c>
    </row>
    <row r="5" spans="1:1" x14ac:dyDescent="0.25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A1"/>
  <sheetViews>
    <sheetView workbookViewId="0">
      <selection activeCell="D8" sqref="D8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clientes</vt:lpstr>
      <vt:lpstr>inventario</vt:lpstr>
      <vt:lpstr>ordenes</vt:lpstr>
      <vt:lpstr>ventas</vt:lpstr>
      <vt:lpstr>Facturas</vt:lpstr>
      <vt:lpstr>vendedores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2025-04-29T00:44:42Z</dcterms:modified>
</cp:coreProperties>
</file>