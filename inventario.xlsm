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ol\OneDrive\Escritorio\lucky_strike\studious-winner\"/>
    </mc:Choice>
  </mc:AlternateContent>
  <xr:revisionPtr revIDLastSave="0" documentId="13_ncr:1_{D445F511-9EDA-4125-9E34-BCD24E8C1182}" xr6:coauthVersionLast="47" xr6:coauthVersionMax="47" xr10:uidLastSave="{00000000-0000-0000-0000-000000000000}"/>
  <bookViews>
    <workbookView xWindow="-108" yWindow="-108" windowWidth="23256" windowHeight="12456" firstSheet="1" activeTab="7" xr2:uid="{00000000-000D-0000-FFFF-FFFF00000000}"/>
  </bookViews>
  <sheets>
    <sheet name="clientes" sheetId="9" r:id="rId1"/>
    <sheet name="inventario" sheetId="1" r:id="rId2"/>
    <sheet name="ordenes" sheetId="13" r:id="rId3"/>
    <sheet name="ventas" sheetId="14" r:id="rId4"/>
    <sheet name="Facturas" sheetId="2" state="hidden" r:id="rId5"/>
    <sheet name="vendedores" sheetId="16" r:id="rId6"/>
    <sheet name="Analisis" sheetId="18" r:id="rId7"/>
    <sheet name="Indicadores" sheetId="19" r:id="rId8"/>
    <sheet name="Hoja1" sheetId="12" state="hidden" r:id="rId9"/>
    <sheet name="Sheet1" sheetId="11" state="hidden" r:id="rId10"/>
  </sheets>
  <definedNames>
    <definedName name="Estudio">#REF!</definedName>
    <definedName name="SegmentaciónDeDatos_Mes1">#N/A</definedName>
  </definedNames>
  <calcPr calcId="191029"/>
  <pivotCaches>
    <pivotCache cacheId="49" r:id="rId11"/>
  </pivotCaches>
  <extLst>
    <ext xmlns:x14="http://schemas.microsoft.com/office/spreadsheetml/2009/9/main" uri="{BBE1A952-AA13-448e-AADC-164F8A28A991}">
      <x14:slicerCaches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4" l="1"/>
  <c r="K3" i="14"/>
  <c r="J2" i="14"/>
  <c r="J3" i="14"/>
  <c r="I2" i="14"/>
  <c r="I3" i="14"/>
  <c r="H2" i="14"/>
  <c r="H3" i="14"/>
  <c r="G2" i="14"/>
  <c r="G3" i="14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<sst xmlns="http://schemas.openxmlformats.org/spreadsheetml/2006/main" count="575" uniqueCount="201">
  <si>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</si>
  <si>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</si>
  <si>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</si>
  <si>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</si>
  <si>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</si>
  <si>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</si>
  <si>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</si>
  <si>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</si>
  <si>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</si>
  <si>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</si>
  <si>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</si>
  <si>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</si>
  <si>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</si>
  <si>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</si>
  <si>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</si>
  <si>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</si>
  <si>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</si>
  <si>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</si>
  <si>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</si>
  <si>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</si>
  <si>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</si>
  <si>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</si>
  <si>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</si>
  <si>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</si>
  <si>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</si>
  <si>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</si>
  <si>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</si>
  <si>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</si>
  <si>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</si>
  <si>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</si>
  <si>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</si>
  <si>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</si>
  <si>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</si>
  <si>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</si>
  <si>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</si>
  <si>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</si>
  <si>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</si>
  <si>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</si>
  <si>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</si>
  <si>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</si>
  <si>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</si>
  <si>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</si>
  <si>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</si>
  <si>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</si>
  <si>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</si>
  <si>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</si>
  <si>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</si>
  <si>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</si>
  <si>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</si>
  <si>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</si>
  <si>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</si>
  <si>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</si>
  <si>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</si>
  <si>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</si>
  <si>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</si>
  <si>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</si>
  <si>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</si>
  <si>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</si>
  <si>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</si>
  <si>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</si>
  <si>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</si>
  <si>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</si>
  <si>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</si>
  <si>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</si>
  <si>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</si>
  <si>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</si>
  <si>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</si>
  <si>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</si>
  <si>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</si>
  <si>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</si>
  <si>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</si>
  <si>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</si>
  <si>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</si>
  <si>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</si>
  <si>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</si>
  <si>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</si>
  <si>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</si>
  <si>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</si>
  <si>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</si>
  <si>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</si>
  <si>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</si>
  <si>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</si>
  <si>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</si>
  <si>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</si>
  <si>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</si>
  <si>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</si>
  <si>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</si>
  <si>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</si>
  <si>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</si>
  <si>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</si>
  <si>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</si>
  <si>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</si>
  <si>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</si>
  <si>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</si>
  <si>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</si>
  <si>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</si>
  <si>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</si>
  <si>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</si>
  <si>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</si>
  <si>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</si>
  <si>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</si>
  <si>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</si>
  <si>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</si>
  <si>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</si>
  <si>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</si>
  <si>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</si>
  <si>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</si>
  <si>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</si>
  <si>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</si>
  <si>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</si>
  <si>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</si>
  <si>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</si>
  <si>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</si>
  <si>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</si>
  <si>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</si>
  <si>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</si>
  <si>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</si>
  <si>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</si>
  <si>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</si>
  <si>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</si>
  <si>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</si>
  <si>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</si>
  <si>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</si>
  <si>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</si>
  <si>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</si>
  <si>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</si>
  <si>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</si>
  <si>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</si>
  <si>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</si>
  <si>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</si>
  <si>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</si>
  <si>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</si>
  <si>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</si>
  <si>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</si>
  <si>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</si>
  <si>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</si>
  <si>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</si>
  <si>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</si>
  <si>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</si>
  <si>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</si>
  <si>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</si>
  <si>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</si>
  <si>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</si>
  <si>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</si>
  <si>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</si>
  <si>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</si>
  <si>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</si>
  <si>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</si>
  <si>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</si>
  <si>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</si>
  <si>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</si>
  <si>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</si>
  <si>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</si>
  <si>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</si>
  <si>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</si>
  <si>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</si>
  <si>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</si>
  <si>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</si>
  <si>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</si>
  <si>
    <t>precio paca</t>
  </si>
  <si>
    <t>p cataluna</t>
  </si>
  <si>
    <t>my friend</t>
  </si>
  <si>
    <t>nb</t>
  </si>
  <si>
    <t>Ventas</t>
  </si>
  <si>
    <t>Cuenta de id</t>
  </si>
  <si>
    <t>Suma de Valor total</t>
  </si>
  <si>
    <t>Total general</t>
  </si>
  <si>
    <t>Suma de cantidad</t>
  </si>
  <si>
    <t>Aguas</t>
  </si>
  <si>
    <t>Cervezas</t>
  </si>
  <si>
    <t>Refrescos</t>
  </si>
  <si>
    <t>Licor</t>
  </si>
  <si>
    <t>u</t>
  </si>
  <si>
    <t>ABIERTA</t>
  </si>
  <si>
    <t>20250615140402-6215</t>
  </si>
  <si>
    <t>Marca</t>
  </si>
  <si>
    <t>Coca Cola</t>
  </si>
  <si>
    <t>Brisa</t>
  </si>
  <si>
    <t>Postobon</t>
  </si>
  <si>
    <t>Cristal</t>
  </si>
  <si>
    <t>Aguila</t>
  </si>
  <si>
    <t>Pilsen</t>
  </si>
  <si>
    <t>Club Colombia</t>
  </si>
  <si>
    <t>Bavaria</t>
  </si>
  <si>
    <t>Cielo</t>
  </si>
  <si>
    <t>INN</t>
  </si>
  <si>
    <t>Malboro</t>
  </si>
  <si>
    <t>Boston</t>
  </si>
  <si>
    <t>STARLITE</t>
  </si>
  <si>
    <t>LYM</t>
  </si>
  <si>
    <t>Lucky</t>
  </si>
  <si>
    <t>FLA</t>
  </si>
  <si>
    <t>Caldas</t>
  </si>
  <si>
    <t>categoria</t>
  </si>
  <si>
    <t>Cigarrillo</t>
  </si>
  <si>
    <t>Otros</t>
  </si>
  <si>
    <t>Precio</t>
  </si>
  <si>
    <t>Valor total</t>
  </si>
  <si>
    <t>Mes</t>
  </si>
  <si>
    <t>Categoria2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</si>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</sst>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$&quot;\ * #,##0.00_-;\-&quot;$&quot;\ * #,##0.00_-;_-&quot;$&quot;\ 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26395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44" fontId="0" fillId="0" borderId="11" xfId="45" applyFont="1" applyBorder="1"/>
    <xf numFmtId="0" fontId="0" fillId="0" borderId="11" xfId="0" applyBorder="1" applyAlignment="1">
      <alignment horizontal="left"/>
    </xf>
    <xf numFmtId="4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4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44" fontId="0" fillId="0" borderId="13" xfId="45" applyFont="1" applyBorder="1"/>
    <xf numFmtId="44" fontId="0" fillId="0" borderId="13" xfId="45" applyFont="1" applyFill="1" applyBorder="1"/>
    <xf numFmtId="4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4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  <xf numFmtId="164" fontId="16" fillId="35" borderId="16" xfId="46" applyFont="1" applyFill="1" applyBorder="1" applyAlignment="1">
      <alignment horizontal="center"/>
    </xf>
    <xf numFmtId="164" fontId="0" fillId="0" borderId="13" xfId="46" applyFont="1" applyBorder="1"/>
    <xf numFmtId="164" fontId="0" fillId="0" borderId="13" xfId="46" applyFont="1" applyFill="1" applyBorder="1"/>
    <xf numFmtId="164" fontId="0" fillId="0" borderId="13" xfId="46" applyFont="1" applyBorder="1" applyAlignment="1">
      <alignment horizontal="right"/>
    </xf>
    <xf numFmtId="164" fontId="0" fillId="0" borderId="19" xfId="46" applyFont="1" applyBorder="1"/>
    <xf numFmtId="164" fontId="0" fillId="0" borderId="0" xfId="46" applyFont="1"/>
    <xf numFmtId="165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0" fontId="19" fillId="36" borderId="0" xfId="0" applyFont="1" applyFill="1"/>
    <xf numFmtId="0" fontId="0" fillId="36" borderId="0" xfId="0" applyFill="1"/>
    <xf numFmtId="0" fontId="0" fillId="0" borderId="20" xfId="0" applyBorder="1"/>
    <xf numFmtId="0" fontId="0" fillId="0" borderId="0" xfId="0" pivotButton="1"/>
    <xf numFmtId="0" fontId="0" fillId="0" borderId="0" xfId="0" applyNumberFormat="1"/>
  </cellXfs>
  <cellStyles count="47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Currency 2" xfId="45" xr:uid="{286888AA-415A-4133-B87A-ED7F73C87276}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oneda" xfId="46" builtinId="4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12"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0"/>
        <name val="Century Gothic"/>
        <family val="2"/>
        <scheme val="none"/>
      </font>
      <fill>
        <patternFill>
          <bgColor rgb="FF324A68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Prueba" pivot="0" table="0" count="10" xr9:uid="{ACBAD8E5-5379-49C9-9150-D967AF2AFCDD}">
      <tableStyleElement type="wholeTable" dxfId="101"/>
      <tableStyleElement type="headerRow" dxfId="100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patternFill patternType="solid">
              <fgColor auto="1"/>
              <bgColor rgb="FFB56576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B56576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B56576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B56576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6D597A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Prueba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[inventario.xlsm]Analisis!TablaDinámica7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Analisis!$A$5:$A$7</c:f>
              <c:strCache>
                <c:ptCount val="2"/>
                <c:pt idx="0">
                  <c:v>CC ZERO 1.5 Litros </c:v>
                </c:pt>
                <c:pt idx="1">
                  <c:v>Pepsi 2.5 Litros</c:v>
                </c:pt>
              </c:strCache>
            </c:strRef>
          </c:cat>
          <c:val>
            <c:numRef>
              <c:f>Analisis!$B$5:$B$7</c:f>
              <c:numCache>
                <c:formatCode>_("$"* #,##0_);_("$"* \(#,##0\);_("$"* "-"??_);_(@_)</c:formatCode>
                <c:ptCount val="2"/>
                <c:pt idx="0">
                  <c:v>38500</c:v>
                </c:pt>
                <c:pt idx="1">
                  <c:v>27500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5-468D-A430-F6B714E1B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02416527"/>
        <c:axId val="302413647"/>
      </c:barChart>
      <c:catAx>
        <c:axId val="3024165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2413647"/>
        <c:crosses val="autoZero"/>
        <c:auto val="1"/>
        <c:lblAlgn val="ctr"/>
        <c:lblOffset val="100"/>
        <c:noMultiLvlLbl val="0"/>
      </c:catAx>
      <c:valAx>
        <c:axId val="302413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241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[inventario.xlsm]Analisis!TablaDinámica3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Analisis!$H$4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Analisis!$G$5:$G$6</c:f>
              <c:strCache>
                <c:ptCount val="1"/>
                <c:pt idx="0">
                  <c:v>jun</c:v>
                </c:pt>
              </c:strCache>
            </c:strRef>
          </c:cat>
          <c:val>
            <c:numRef>
              <c:f>Analisis!$H$5:$H$6</c:f>
              <c:numCache>
                <c:formatCode>_("$"* #,##0.00_);_("$"* \(#,##0.00\);_("$"* "-"??_);_(@_)</c:formatCode>
                <c:ptCount val="1"/>
                <c:pt idx="0">
                  <c:v>66000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E-41D7-845E-992B00BC3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0555551"/>
        <c:axId val="1740552671"/>
      </c:lineChart>
      <c:catAx>
        <c:axId val="174055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552671"/>
        <c:crosses val="autoZero"/>
        <c:auto val="1"/>
        <c:lblAlgn val="ctr"/>
        <c:lblOffset val="100"/>
        <c:noMultiLvlLbl val="0"/>
      </c:catAx>
      <c:valAx>
        <c:axId val="174055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55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[inventario.xlsm]Analisis!VentasCategoria</c:name>
    <c:fmtId val="4"/>
  </c:pivotSource>
  <c:chart>
    <c:autoTitleDeleted val="1"/>
    <c:pivotFmts>
      <c:pivotFmt>
        <c:idx val="0"/>
        <c:spPr>
          <a:solidFill>
            <a:srgbClr val="EAAC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AC8B"/>
          </a:solidFill>
          <a:ln>
            <a:noFill/>
          </a:ln>
          <a:effectLst/>
        </c:spPr>
      </c:pivotFmt>
      <c:pivotFmt>
        <c:idx val="2"/>
        <c:spPr>
          <a:solidFill>
            <a:srgbClr val="EAAC8B"/>
          </a:solidFill>
          <a:ln>
            <a:noFill/>
          </a:ln>
          <a:effectLst/>
        </c:spPr>
      </c:pivotFmt>
      <c:pivotFmt>
        <c:idx val="3"/>
        <c:spPr>
          <a:solidFill>
            <a:srgbClr val="EAAC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Analisis!$E$36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AAC8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Analisis!$D$37:$D$38</c:f>
              <c:strCache>
                <c:ptCount val="1"/>
                <c:pt idx="0">
                  <c:v>Refrescos</c:v>
                </c:pt>
              </c:strCache>
            </c:strRef>
          </c:cat>
          <c:val>
            <c:numRef>
              <c:f>Analisis!$E$37:$E$38</c:f>
              <c:numCache>
                <c:formatCode>_("$"* #,##0.00_);_("$"* \(#,##0.00\);_("$"* "-"??_);_(@_)</c:formatCode>
                <c:ptCount val="1"/>
                <c:pt idx="0">
                  <c:v>66000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2-4AAD-A329-8F3AA3CF2C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359707647"/>
        <c:axId val="1790208415"/>
      </c:barChart>
      <c:catAx>
        <c:axId val="135970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90208415"/>
        <c:crosses val="autoZero"/>
        <c:auto val="1"/>
        <c:lblAlgn val="ctr"/>
        <c:lblOffset val="100"/>
        <c:noMultiLvlLbl val="0"/>
      </c:catAx>
      <c:valAx>
        <c:axId val="179020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5970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[inventario.xlsm]Analisis!VentasMarca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Analisis!$K$4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Analisis!$J$5:$J$7</c:f>
              <c:strCache>
                <c:ptCount val="2"/>
                <c:pt idx="0">
                  <c:v>Pepsi 2.5 Litros</c:v>
                </c:pt>
                <c:pt idx="1">
                  <c:v>CC ZERO 1.5 Litros </c:v>
                </c:pt>
              </c:strCache>
            </c:strRef>
          </c:cat>
          <c:val>
            <c:numRef>
              <c:f>Analisis!$K$5:$K$7</c:f>
              <c:numCache>
                <c:formatCode>_("$"* #,##0.00_);_("$"* \(#,##0.00\);_("$"* "-"??_);_(@_)</c:formatCode>
                <c:ptCount val="2"/>
                <c:pt idx="0">
                  <c:v>27500</c:v>
                </c:pt>
                <c:pt idx="1">
                  <c:v>38500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F-4A65-96C4-023F9C276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61492704"/>
        <c:axId val="1761483104"/>
      </c:barChart>
      <c:catAx>
        <c:axId val="1761492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1483104"/>
        <c:crosses val="autoZero"/>
        <c:auto val="1"/>
        <c:lblAlgn val="ctr"/>
        <c:lblOffset val="100"/>
        <c:noMultiLvlLbl val="0"/>
      </c:catAx>
      <c:valAx>
        <c:axId val="176148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149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[inventario.xlsm]Analisis!TablaDinámica7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Analisis!$A$5:$A$7</c:f>
              <c:strCache>
                <c:ptCount val="2"/>
                <c:pt idx="0">
                  <c:v>CC ZERO 1.5 Litros </c:v>
                </c:pt>
                <c:pt idx="1">
                  <c:v>Pepsi 2.5 Litros</c:v>
                </c:pt>
              </c:strCache>
            </c:strRef>
          </c:cat>
          <c:val>
            <c:numRef>
              <c:f>Analisis!$B$5:$B$7</c:f>
              <c:numCache>
                <c:formatCode>_("$"* #,##0_);_("$"* \(#,##0\);_("$"* "-"??_);_(@_)</c:formatCode>
                <c:ptCount val="2"/>
                <c:pt idx="0">
                  <c:v>38500</c:v>
                </c:pt>
                <c:pt idx="1">
                  <c:v>27500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C-495C-8FC1-4AC7EBF381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302416527"/>
        <c:axId val="302413647"/>
      </c:barChart>
      <c:catAx>
        <c:axId val="3024165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2413647"/>
        <c:crosses val="autoZero"/>
        <c:auto val="1"/>
        <c:lblAlgn val="ctr"/>
        <c:lblOffset val="100"/>
        <c:noMultiLvlLbl val="0"/>
      </c:catAx>
      <c:valAx>
        <c:axId val="30241364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241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[inventario.xlsm]Analisis!TablaDinámica3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E56B6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E56B6F"/>
            </a:solidFill>
            <a:round/>
          </a:ln>
          <a:effectLst/>
        </c:spPr>
      </c:pivotFmt>
      <c:pivotFmt>
        <c:idx val="4"/>
        <c:spPr>
          <a:ln w="28575" cap="rnd">
            <a:solidFill>
              <a:srgbClr val="E56B6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Analisis!$H$4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E56B6F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Analisis!$G$5:$G$6</c:f>
              <c:strCache>
                <c:ptCount val="1"/>
                <c:pt idx="0">
                  <c:v>jun</c:v>
                </c:pt>
              </c:strCache>
            </c:strRef>
          </c:cat>
          <c:val>
            <c:numRef>
              <c:f>Analisis!$H$5:$H$6</c:f>
              <c:numCache>
                <c:formatCode>_("$"* #,##0.00_);_("$"* \(#,##0.00\);_("$"* "-"??_);_(@_)</c:formatCode>
                <c:ptCount val="1"/>
                <c:pt idx="0">
                  <c:v>66000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E-47EC-A006-D96C79830A1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740555551"/>
        <c:axId val="1740552671"/>
      </c:lineChart>
      <c:catAx>
        <c:axId val="174055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552671"/>
        <c:crosses val="autoZero"/>
        <c:auto val="1"/>
        <c:lblAlgn val="ctr"/>
        <c:lblOffset val="100"/>
        <c:noMultiLvlLbl val="0"/>
      </c:catAx>
      <c:valAx>
        <c:axId val="174055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  <a:alpha val="18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555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[inventario.xlsm]Analisis!VentasCategoria</c:name>
    <c:fmtId val="5"/>
  </c:pivotSource>
  <c:chart>
    <c:autoTitleDeleted val="1"/>
    <c:pivotFmts>
      <c:pivotFmt>
        <c:idx val="0"/>
        <c:spPr>
          <a:solidFill>
            <a:srgbClr val="EAAC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AC8B"/>
          </a:solidFill>
          <a:ln>
            <a:noFill/>
          </a:ln>
          <a:effectLst/>
        </c:spPr>
      </c:pivotFmt>
      <c:pivotFmt>
        <c:idx val="2"/>
        <c:spPr>
          <a:solidFill>
            <a:srgbClr val="EAAC8B"/>
          </a:solidFill>
          <a:ln>
            <a:noFill/>
          </a:ln>
          <a:effectLst/>
        </c:spPr>
      </c:pivotFmt>
      <c:pivotFmt>
        <c:idx val="3"/>
        <c:spPr>
          <a:solidFill>
            <a:srgbClr val="EAAC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r="100000" b="100000"/>
            </a:path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r="100000" b="100000"/>
            </a:path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Analisis!$E$36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E56B6F"/>
                </a:gs>
                <a:gs pos="100000">
                  <a:srgbClr val="6D597A"/>
                </a:gs>
              </a:gsLst>
              <a:path path="circle">
                <a:fillToRect r="100000" b="100000"/>
              </a:path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Analisis!$D$37:$D$38</c:f>
              <c:strCache>
                <c:ptCount val="1"/>
                <c:pt idx="0">
                  <c:v>Refrescos</c:v>
                </c:pt>
              </c:strCache>
            </c:strRef>
          </c:cat>
          <c:val>
            <c:numRef>
              <c:f>Analisis!$E$37:$E$38</c:f>
              <c:numCache>
                <c:formatCode>_("$"* #,##0.00_);_("$"* \(#,##0.00\);_("$"* "-"??_);_(@_)</c:formatCode>
                <c:ptCount val="1"/>
                <c:pt idx="0">
                  <c:v>66000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7-4A98-A9CD-D9A7CBBD4B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359707647"/>
        <c:axId val="1790208415"/>
      </c:barChart>
      <c:catAx>
        <c:axId val="135970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90208415"/>
        <c:crosses val="autoZero"/>
        <c:auto val="1"/>
        <c:lblAlgn val="ctr"/>
        <c:lblOffset val="100"/>
        <c:noMultiLvlLbl val="0"/>
      </c:catAx>
      <c:valAx>
        <c:axId val="179020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  <a:alpha val="29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5970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[inventario.xlsm]Analisis!VentasMarca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Analisis!$K$4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E56B6F"/>
                </a:gs>
                <a:gs pos="100000">
                  <a:srgbClr val="6D597A"/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Analisis!$J$5:$J$7</c:f>
              <c:strCache>
                <c:ptCount val="2"/>
                <c:pt idx="0">
                  <c:v>Pepsi 2.5 Litros</c:v>
                </c:pt>
                <c:pt idx="1">
                  <c:v>CC ZERO 1.5 Litros </c:v>
                </c:pt>
              </c:strCache>
            </c:strRef>
          </c:cat>
          <c:val>
            <c:numRef>
              <c:f>Analisis!$K$5:$K$7</c:f>
              <c:numCache>
                <c:formatCode>_("$"* #,##0.00_);_("$"* \(#,##0.00\);_("$"* "-"??_);_(@_)</c:formatCode>
                <c:ptCount val="2"/>
                <c:pt idx="0">
                  <c:v>27500</c:v>
                </c:pt>
                <c:pt idx="1">
                  <c:v>38500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6-4EB0-A607-9F6038796F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0"/>
        <c:axId val="1761492704"/>
        <c:axId val="1761483104"/>
      </c:barChart>
      <c:catAx>
        <c:axId val="1761492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1483104"/>
        <c:crosses val="autoZero"/>
        <c:auto val="1"/>
        <c:lblAlgn val="ctr"/>
        <c:lblOffset val="100"/>
        <c:noMultiLvlLbl val="0"/>
      </c:catAx>
      <c:valAx>
        <c:axId val="17614831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>
                  <a:lumMod val="90000"/>
                  <a:alpha val="9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76149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14</xdr:col>
      <xdr:colOff>469982</xdr:colOff>
      <xdr:row>9</xdr:row>
      <xdr:rowOff>58994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E3F6BA2-4111-4D92-83BF-A657BC1342E8}"/>
            </a:ext>
          </a:extLst>
        </xdr:cNvPr>
        <xdr:cNvSpPr/>
      </xdr:nvSpPr>
      <xdr:spPr>
        <a:xfrm>
          <a:off x="10736580" y="731520"/>
          <a:ext cx="2054942" cy="973394"/>
        </a:xfrm>
        <a:prstGeom prst="roundRect">
          <a:avLst/>
        </a:prstGeom>
        <a:solidFill>
          <a:srgbClr val="355070"/>
        </a:solidFill>
        <a:ln>
          <a:solidFill>
            <a:srgbClr val="35507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#355070</a:t>
          </a:r>
        </a:p>
      </xdr:txBody>
    </xdr:sp>
    <xdr:clientData/>
  </xdr:twoCellAnchor>
  <xdr:twoCellAnchor>
    <xdr:from>
      <xdr:col>12</xdr:col>
      <xdr:colOff>0</xdr:colOff>
      <xdr:row>10</xdr:row>
      <xdr:rowOff>97339</xdr:rowOff>
    </xdr:from>
    <xdr:to>
      <xdr:col>14</xdr:col>
      <xdr:colOff>469982</xdr:colOff>
      <xdr:row>15</xdr:row>
      <xdr:rowOff>156333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8E1FEEF-2E89-494A-B18C-A5864A844D1D}"/>
            </a:ext>
          </a:extLst>
        </xdr:cNvPr>
        <xdr:cNvSpPr/>
      </xdr:nvSpPr>
      <xdr:spPr>
        <a:xfrm>
          <a:off x="10736580" y="1926139"/>
          <a:ext cx="2054942" cy="973394"/>
        </a:xfrm>
        <a:prstGeom prst="roundRect">
          <a:avLst/>
        </a:prstGeom>
        <a:solidFill>
          <a:srgbClr val="B56576"/>
        </a:solidFill>
        <a:ln>
          <a:solidFill>
            <a:srgbClr val="B5657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#B56576</a:t>
          </a:r>
        </a:p>
      </xdr:txBody>
    </xdr:sp>
    <xdr:clientData/>
  </xdr:twoCellAnchor>
  <xdr:twoCellAnchor>
    <xdr:from>
      <xdr:col>12</xdr:col>
      <xdr:colOff>0</xdr:colOff>
      <xdr:row>17</xdr:row>
      <xdr:rowOff>51127</xdr:rowOff>
    </xdr:from>
    <xdr:to>
      <xdr:col>14</xdr:col>
      <xdr:colOff>469982</xdr:colOff>
      <xdr:row>22</xdr:row>
      <xdr:rowOff>110121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7589656-150B-443E-A9C5-8C96EEF7A16B}"/>
            </a:ext>
          </a:extLst>
        </xdr:cNvPr>
        <xdr:cNvSpPr/>
      </xdr:nvSpPr>
      <xdr:spPr>
        <a:xfrm>
          <a:off x="10736580" y="3160087"/>
          <a:ext cx="2054942" cy="973394"/>
        </a:xfrm>
        <a:prstGeom prst="roundRect">
          <a:avLst/>
        </a:prstGeom>
        <a:solidFill>
          <a:srgbClr val="EAAC8B"/>
        </a:solidFill>
        <a:ln>
          <a:solidFill>
            <a:srgbClr val="EAAC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#EAAC8B</a:t>
          </a:r>
        </a:p>
      </xdr:txBody>
    </xdr:sp>
    <xdr:clientData/>
  </xdr:twoCellAnchor>
  <xdr:twoCellAnchor>
    <xdr:from>
      <xdr:col>14</xdr:col>
      <xdr:colOff>730537</xdr:colOff>
      <xdr:row>4</xdr:row>
      <xdr:rowOff>0</xdr:rowOff>
    </xdr:from>
    <xdr:to>
      <xdr:col>17</xdr:col>
      <xdr:colOff>408039</xdr:colOff>
      <xdr:row>9</xdr:row>
      <xdr:rowOff>58994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40A80F4-4BF2-4A3F-91FC-0B889057D53C}"/>
            </a:ext>
          </a:extLst>
        </xdr:cNvPr>
        <xdr:cNvSpPr/>
      </xdr:nvSpPr>
      <xdr:spPr>
        <a:xfrm>
          <a:off x="13052077" y="731520"/>
          <a:ext cx="2054942" cy="973394"/>
        </a:xfrm>
        <a:prstGeom prst="roundRect">
          <a:avLst/>
        </a:prstGeom>
        <a:solidFill>
          <a:srgbClr val="6D597A"/>
        </a:solidFill>
        <a:ln>
          <a:solidFill>
            <a:srgbClr val="6D597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#6D597A</a:t>
          </a:r>
        </a:p>
      </xdr:txBody>
    </xdr:sp>
    <xdr:clientData/>
  </xdr:twoCellAnchor>
  <xdr:twoCellAnchor>
    <xdr:from>
      <xdr:col>14</xdr:col>
      <xdr:colOff>730537</xdr:colOff>
      <xdr:row>10</xdr:row>
      <xdr:rowOff>97339</xdr:rowOff>
    </xdr:from>
    <xdr:to>
      <xdr:col>17</xdr:col>
      <xdr:colOff>408039</xdr:colOff>
      <xdr:row>15</xdr:row>
      <xdr:rowOff>156333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E3361AE-5001-4B4B-B1DC-0B45FCF90886}"/>
            </a:ext>
          </a:extLst>
        </xdr:cNvPr>
        <xdr:cNvSpPr/>
      </xdr:nvSpPr>
      <xdr:spPr>
        <a:xfrm>
          <a:off x="13052077" y="1926139"/>
          <a:ext cx="2054942" cy="973394"/>
        </a:xfrm>
        <a:prstGeom prst="roundRect">
          <a:avLst/>
        </a:prstGeom>
        <a:solidFill>
          <a:srgbClr val="E56B6F"/>
        </a:solidFill>
        <a:ln>
          <a:solidFill>
            <a:srgbClr val="E56B6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#E56B6F</a:t>
          </a:r>
        </a:p>
      </xdr:txBody>
    </xdr:sp>
    <xdr:clientData/>
  </xdr:twoCellAnchor>
  <xdr:twoCellAnchor>
    <xdr:from>
      <xdr:col>0</xdr:col>
      <xdr:colOff>0</xdr:colOff>
      <xdr:row>12</xdr:row>
      <xdr:rowOff>15240</xdr:rowOff>
    </xdr:from>
    <xdr:to>
      <xdr:col>1</xdr:col>
      <xdr:colOff>1120140</xdr:colOff>
      <xdr:row>23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E9E8184-8A92-417F-AFB0-EF811BC683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220980</xdr:colOff>
      <xdr:row>7</xdr:row>
      <xdr:rowOff>80010</xdr:rowOff>
    </xdr:from>
    <xdr:to>
      <xdr:col>9</xdr:col>
      <xdr:colOff>876300</xdr:colOff>
      <xdr:row>19</xdr:row>
      <xdr:rowOff>30480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8990A7F8-A9B1-4415-93BE-121BFF92A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32</xdr:row>
      <xdr:rowOff>80010</xdr:rowOff>
    </xdr:from>
    <xdr:to>
      <xdr:col>9</xdr:col>
      <xdr:colOff>2118360</xdr:colOff>
      <xdr:row>47</xdr:row>
      <xdr:rowOff>80010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59DD6370-79AE-40CA-B351-9AF65C67D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22860</xdr:colOff>
      <xdr:row>16</xdr:row>
      <xdr:rowOff>163830</xdr:rowOff>
    </xdr:from>
    <xdr:to>
      <xdr:col>20</xdr:col>
      <xdr:colOff>632460</xdr:colOff>
      <xdr:row>31</xdr:row>
      <xdr:rowOff>163830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D14858E-0DCC-4960-A4CA-92FE59A9D5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586740</xdr:colOff>
      <xdr:row>7</xdr:row>
      <xdr:rowOff>152401</xdr:rowOff>
    </xdr:from>
    <xdr:to>
      <xdr:col>6</xdr:col>
      <xdr:colOff>106680</xdr:colOff>
      <xdr:row>11</xdr:row>
      <xdr:rowOff>76201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Mes 1">
              <a:extLst>
                <a:ext uri="{FF2B5EF4-FFF2-40B4-BE49-F238E27FC236}">
                  <a16:creationId xmlns:a16="http://schemas.microsoft.com/office/drawing/2014/main" id="{6B1F4E18-AAC7-4F8E-8D56-CE3D74D84F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27020" y="1432561"/>
              <a:ext cx="1828800" cy="655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66675</xdr:rowOff>
    </xdr:from>
    <xdr:to>
      <xdr:col>7</xdr:col>
      <xdr:colOff>139065</xdr:colOff>
      <xdr:row>37</xdr:row>
      <xdr:rowOff>38099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CA0EFA5-2A1C-4B49-986C-00E8A51521AD}"/>
            </a:ext>
          </a:extLst>
        </xdr:cNvPr>
        <xdr:cNvSpPr/>
      </xdr:nvSpPr>
      <xdr:spPr>
        <a:xfrm>
          <a:off x="0" y="66675"/>
          <a:ext cx="1845945" cy="6737984"/>
        </a:xfrm>
        <a:prstGeom prst="roundRect">
          <a:avLst>
            <a:gd name="adj" fmla="val 8281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0</xdr:col>
      <xdr:colOff>85725</xdr:colOff>
      <xdr:row>0</xdr:row>
      <xdr:rowOff>66675</xdr:rowOff>
    </xdr:from>
    <xdr:to>
      <xdr:col>7</xdr:col>
      <xdr:colOff>9525</xdr:colOff>
      <xdr:row>7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1F1A99F-8B04-41F7-9167-815202D52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66675"/>
          <a:ext cx="1630680" cy="1289685"/>
        </a:xfrm>
        <a:prstGeom prst="rect">
          <a:avLst/>
        </a:prstGeom>
      </xdr:spPr>
    </xdr:pic>
    <xdr:clientData/>
  </xdr:twoCellAnchor>
  <xdr:twoCellAnchor>
    <xdr:from>
      <xdr:col>7</xdr:col>
      <xdr:colOff>217170</xdr:colOff>
      <xdr:row>0</xdr:row>
      <xdr:rowOff>85725</xdr:rowOff>
    </xdr:from>
    <xdr:to>
      <xdr:col>21</xdr:col>
      <xdr:colOff>133350</xdr:colOff>
      <xdr:row>5</xdr:row>
      <xdr:rowOff>152400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2ED375F-A93D-4C2D-ADEC-DAC4E511D3DB}"/>
            </a:ext>
          </a:extLst>
        </xdr:cNvPr>
        <xdr:cNvSpPr/>
      </xdr:nvSpPr>
      <xdr:spPr>
        <a:xfrm>
          <a:off x="1924050" y="85725"/>
          <a:ext cx="3329940" cy="981075"/>
        </a:xfrm>
        <a:prstGeom prst="roundRect">
          <a:avLst>
            <a:gd name="adj" fmla="val 16667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47625</xdr:colOff>
      <xdr:row>0</xdr:row>
      <xdr:rowOff>114300</xdr:rowOff>
    </xdr:from>
    <xdr:to>
      <xdr:col>11</xdr:col>
      <xdr:colOff>219075</xdr:colOff>
      <xdr:row>5</xdr:row>
      <xdr:rowOff>123825</xdr:rowOff>
    </xdr:to>
    <xdr:pic>
      <xdr:nvPicPr>
        <xdr:cNvPr id="5" name="Gráfico 4" descr="Upward trend contorno">
          <a:extLst>
            <a:ext uri="{FF2B5EF4-FFF2-40B4-BE49-F238E27FC236}">
              <a16:creationId xmlns:a16="http://schemas.microsoft.com/office/drawing/2014/main" id="{AFF9E046-B19F-44D4-8E98-FFBF64C0B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98345" y="114300"/>
          <a:ext cx="902970" cy="923925"/>
        </a:xfrm>
        <a:prstGeom prst="rect">
          <a:avLst/>
        </a:prstGeom>
      </xdr:spPr>
    </xdr:pic>
    <xdr:clientData/>
  </xdr:twoCellAnchor>
  <xdr:twoCellAnchor>
    <xdr:from>
      <xdr:col>11</xdr:col>
      <xdr:colOff>180975</xdr:colOff>
      <xdr:row>3</xdr:row>
      <xdr:rowOff>133350</xdr:rowOff>
    </xdr:from>
    <xdr:to>
      <xdr:col>19</xdr:col>
      <xdr:colOff>57150</xdr:colOff>
      <xdr:row>5</xdr:row>
      <xdr:rowOff>114300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E3E09314-3BD5-4B3C-8D7B-4A69E43C95F2}"/>
            </a:ext>
          </a:extLst>
        </xdr:cNvPr>
        <xdr:cNvSpPr txBox="1"/>
      </xdr:nvSpPr>
      <xdr:spPr>
        <a:xfrm>
          <a:off x="2863215" y="681990"/>
          <a:ext cx="1826895" cy="346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</a:t>
          </a:r>
        </a:p>
      </xdr:txBody>
    </xdr:sp>
    <xdr:clientData/>
  </xdr:twoCellAnchor>
  <xdr:twoCellAnchor>
    <xdr:from>
      <xdr:col>12</xdr:col>
      <xdr:colOff>28575</xdr:colOff>
      <xdr:row>1</xdr:row>
      <xdr:rowOff>57150</xdr:rowOff>
    </xdr:from>
    <xdr:to>
      <xdr:col>19</xdr:col>
      <xdr:colOff>152400</xdr:colOff>
      <xdr:row>3</xdr:row>
      <xdr:rowOff>38100</xdr:rowOff>
    </xdr:to>
    <xdr:sp macro="" textlink="Analisis!A2">
      <xdr:nvSpPr>
        <xdr:cNvPr id="7" name="CuadroTexto 6">
          <a:extLst>
            <a:ext uri="{FF2B5EF4-FFF2-40B4-BE49-F238E27FC236}">
              <a16:creationId xmlns:a16="http://schemas.microsoft.com/office/drawing/2014/main" id="{D3BCFB47-FC17-43F2-BF98-76A8D4470FEB}"/>
            </a:ext>
          </a:extLst>
        </xdr:cNvPr>
        <xdr:cNvSpPr txBox="1"/>
      </xdr:nvSpPr>
      <xdr:spPr>
        <a:xfrm>
          <a:off x="2954655" y="240030"/>
          <a:ext cx="1830705" cy="346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EBBBFD-28C9-44ED-9F4A-6EFABD6C2955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</a:rPr>
            <a:pPr algn="ctr"/>
            <a:t> $66.000 </a:t>
          </a:fld>
          <a:endParaRPr lang="es-CO" sz="36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226694</xdr:colOff>
      <xdr:row>6</xdr:row>
      <xdr:rowOff>123824</xdr:rowOff>
    </xdr:from>
    <xdr:to>
      <xdr:col>33</xdr:col>
      <xdr:colOff>85725</xdr:colOff>
      <xdr:row>21</xdr:row>
      <xdr:rowOff>142874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268A10A-2234-41CB-8E63-6A2B483A1F5B}"/>
            </a:ext>
          </a:extLst>
        </xdr:cNvPr>
        <xdr:cNvSpPr/>
      </xdr:nvSpPr>
      <xdr:spPr>
        <a:xfrm>
          <a:off x="1933574" y="1221104"/>
          <a:ext cx="6198871" cy="2762250"/>
        </a:xfrm>
        <a:prstGeom prst="roundRect">
          <a:avLst>
            <a:gd name="adj" fmla="val 6562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9525</xdr:colOff>
      <xdr:row>7</xdr:row>
      <xdr:rowOff>19050</xdr:rowOff>
    </xdr:from>
    <xdr:to>
      <xdr:col>16</xdr:col>
      <xdr:colOff>133350</xdr:colOff>
      <xdr:row>9</xdr:row>
      <xdr:rowOff>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64261AC0-55DC-4D34-B092-169E942C6F5A}"/>
            </a:ext>
          </a:extLst>
        </xdr:cNvPr>
        <xdr:cNvSpPr txBox="1"/>
      </xdr:nvSpPr>
      <xdr:spPr>
        <a:xfrm>
          <a:off x="2204085" y="1299210"/>
          <a:ext cx="1830705" cy="346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 por Producto</a:t>
          </a:r>
        </a:p>
      </xdr:txBody>
    </xdr:sp>
    <xdr:clientData/>
  </xdr:twoCellAnchor>
  <xdr:twoCellAnchor>
    <xdr:from>
      <xdr:col>9</xdr:col>
      <xdr:colOff>19050</xdr:colOff>
      <xdr:row>8</xdr:row>
      <xdr:rowOff>142875</xdr:rowOff>
    </xdr:from>
    <xdr:to>
      <xdr:col>21</xdr:col>
      <xdr:colOff>66675</xdr:colOff>
      <xdr:row>8</xdr:row>
      <xdr:rowOff>142875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B17F2F4C-7555-497B-BBA9-10B731557AA9}"/>
            </a:ext>
          </a:extLst>
        </xdr:cNvPr>
        <xdr:cNvCxnSpPr/>
      </xdr:nvCxnSpPr>
      <xdr:spPr>
        <a:xfrm>
          <a:off x="2213610" y="1605915"/>
          <a:ext cx="297370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9</xdr:row>
      <xdr:rowOff>76200</xdr:rowOff>
    </xdr:from>
    <xdr:to>
      <xdr:col>31</xdr:col>
      <xdr:colOff>57150</xdr:colOff>
      <xdr:row>20</xdr:row>
      <xdr:rowOff>139065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45D5805-0F3E-4C71-854E-5CF53290B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188594</xdr:colOff>
      <xdr:row>6</xdr:row>
      <xdr:rowOff>133349</xdr:rowOff>
    </xdr:from>
    <xdr:to>
      <xdr:col>59</xdr:col>
      <xdr:colOff>47625</xdr:colOff>
      <xdr:row>21</xdr:row>
      <xdr:rowOff>152399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D1609724-CF2A-48F0-B088-6143D0AE2ED3}"/>
            </a:ext>
          </a:extLst>
        </xdr:cNvPr>
        <xdr:cNvSpPr/>
      </xdr:nvSpPr>
      <xdr:spPr>
        <a:xfrm>
          <a:off x="8235314" y="1230629"/>
          <a:ext cx="6198871" cy="2762250"/>
        </a:xfrm>
        <a:prstGeom prst="roundRect">
          <a:avLst>
            <a:gd name="adj" fmla="val 5866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35</xdr:col>
      <xdr:colOff>19050</xdr:colOff>
      <xdr:row>9</xdr:row>
      <xdr:rowOff>161925</xdr:rowOff>
    </xdr:from>
    <xdr:to>
      <xdr:col>57</xdr:col>
      <xdr:colOff>190500</xdr:colOff>
      <xdr:row>21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A8D88FDB-09B8-48D5-B317-CB55CB733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219074</xdr:colOff>
      <xdr:row>7</xdr:row>
      <xdr:rowOff>28575</xdr:rowOff>
    </xdr:from>
    <xdr:to>
      <xdr:col>43</xdr:col>
      <xdr:colOff>152399</xdr:colOff>
      <xdr:row>9</xdr:row>
      <xdr:rowOff>9525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407E7D54-DD50-4392-B6AD-E8D5C8BC72CF}"/>
            </a:ext>
          </a:extLst>
        </xdr:cNvPr>
        <xdr:cNvSpPr txBox="1"/>
      </xdr:nvSpPr>
      <xdr:spPr>
        <a:xfrm>
          <a:off x="8509634" y="1308735"/>
          <a:ext cx="2127885" cy="346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 totales por mes</a:t>
          </a:r>
        </a:p>
      </xdr:txBody>
    </xdr:sp>
    <xdr:clientData/>
  </xdr:twoCellAnchor>
  <xdr:twoCellAnchor>
    <xdr:from>
      <xdr:col>34</xdr:col>
      <xdr:colOff>228600</xdr:colOff>
      <xdr:row>8</xdr:row>
      <xdr:rowOff>152400</xdr:rowOff>
    </xdr:from>
    <xdr:to>
      <xdr:col>47</xdr:col>
      <xdr:colOff>28575</xdr:colOff>
      <xdr:row>8</xdr:row>
      <xdr:rowOff>152400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2BE34E7C-BD73-4F51-87AB-B0A5E2BB7D3C}"/>
            </a:ext>
          </a:extLst>
        </xdr:cNvPr>
        <xdr:cNvCxnSpPr/>
      </xdr:nvCxnSpPr>
      <xdr:spPr>
        <a:xfrm>
          <a:off x="8519160" y="1615440"/>
          <a:ext cx="296989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226694</xdr:colOff>
      <xdr:row>22</xdr:row>
      <xdr:rowOff>38099</xdr:rowOff>
    </xdr:from>
    <xdr:to>
      <xdr:col>33</xdr:col>
      <xdr:colOff>85725</xdr:colOff>
      <xdr:row>37</xdr:row>
      <xdr:rowOff>57149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C871C6BF-ABE4-43B5-A539-7F7D7B1B2A5E}"/>
            </a:ext>
          </a:extLst>
        </xdr:cNvPr>
        <xdr:cNvSpPr/>
      </xdr:nvSpPr>
      <xdr:spPr>
        <a:xfrm>
          <a:off x="1933574" y="4061459"/>
          <a:ext cx="6198871" cy="2762250"/>
        </a:xfrm>
        <a:prstGeom prst="roundRect">
          <a:avLst>
            <a:gd name="adj" fmla="val 5866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9524</xdr:colOff>
      <xdr:row>22</xdr:row>
      <xdr:rowOff>114300</xdr:rowOff>
    </xdr:from>
    <xdr:to>
      <xdr:col>19</xdr:col>
      <xdr:colOff>19049</xdr:colOff>
      <xdr:row>24</xdr:row>
      <xdr:rowOff>95250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DBCDC6D8-6DA4-4A93-B840-32DDC0E9A927}"/>
            </a:ext>
          </a:extLst>
        </xdr:cNvPr>
        <xdr:cNvSpPr txBox="1"/>
      </xdr:nvSpPr>
      <xdr:spPr>
        <a:xfrm>
          <a:off x="2204084" y="4137660"/>
          <a:ext cx="2447925" cy="346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 totales por Categoría</a:t>
          </a:r>
        </a:p>
      </xdr:txBody>
    </xdr:sp>
    <xdr:clientData/>
  </xdr:twoCellAnchor>
  <xdr:twoCellAnchor>
    <xdr:from>
      <xdr:col>9</xdr:col>
      <xdr:colOff>19050</xdr:colOff>
      <xdr:row>24</xdr:row>
      <xdr:rowOff>57150</xdr:rowOff>
    </xdr:from>
    <xdr:to>
      <xdr:col>21</xdr:col>
      <xdr:colOff>66675</xdr:colOff>
      <xdr:row>24</xdr:row>
      <xdr:rowOff>57150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B1F87554-EC43-43B6-A1EF-7D0BB4AFF5E7}"/>
            </a:ext>
          </a:extLst>
        </xdr:cNvPr>
        <xdr:cNvCxnSpPr/>
      </xdr:nvCxnSpPr>
      <xdr:spPr>
        <a:xfrm>
          <a:off x="2213610" y="4446270"/>
          <a:ext cx="297370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228600</xdr:colOff>
      <xdr:row>24</xdr:row>
      <xdr:rowOff>152400</xdr:rowOff>
    </xdr:from>
    <xdr:to>
      <xdr:col>31</xdr:col>
      <xdr:colOff>171450</xdr:colOff>
      <xdr:row>36</xdr:row>
      <xdr:rowOff>38100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5D6540F8-0E28-4701-A36F-F87770C41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160019</xdr:colOff>
      <xdr:row>22</xdr:row>
      <xdr:rowOff>38099</xdr:rowOff>
    </xdr:from>
    <xdr:to>
      <xdr:col>59</xdr:col>
      <xdr:colOff>19050</xdr:colOff>
      <xdr:row>37</xdr:row>
      <xdr:rowOff>57149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5BB74DB6-0C91-4E50-82AD-C041381CD9AA}"/>
            </a:ext>
          </a:extLst>
        </xdr:cNvPr>
        <xdr:cNvSpPr/>
      </xdr:nvSpPr>
      <xdr:spPr>
        <a:xfrm>
          <a:off x="8206739" y="4061459"/>
          <a:ext cx="6198871" cy="2762250"/>
        </a:xfrm>
        <a:prstGeom prst="roundRect">
          <a:avLst>
            <a:gd name="adj" fmla="val 5866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34</xdr:col>
      <xdr:colOff>190499</xdr:colOff>
      <xdr:row>22</xdr:row>
      <xdr:rowOff>114300</xdr:rowOff>
    </xdr:from>
    <xdr:to>
      <xdr:col>44</xdr:col>
      <xdr:colOff>200024</xdr:colOff>
      <xdr:row>24</xdr:row>
      <xdr:rowOff>95250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118CA65-9A92-474B-81D7-A5EE539E1DDA}"/>
            </a:ext>
          </a:extLst>
        </xdr:cNvPr>
        <xdr:cNvSpPr txBox="1"/>
      </xdr:nvSpPr>
      <xdr:spPr>
        <a:xfrm>
          <a:off x="8481059" y="4137660"/>
          <a:ext cx="2447925" cy="346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 totales por Marca</a:t>
          </a:r>
        </a:p>
      </xdr:txBody>
    </xdr:sp>
    <xdr:clientData/>
  </xdr:twoCellAnchor>
  <xdr:twoCellAnchor>
    <xdr:from>
      <xdr:col>34</xdr:col>
      <xdr:colOff>200025</xdr:colOff>
      <xdr:row>24</xdr:row>
      <xdr:rowOff>57150</xdr:rowOff>
    </xdr:from>
    <xdr:to>
      <xdr:col>47</xdr:col>
      <xdr:colOff>0</xdr:colOff>
      <xdr:row>24</xdr:row>
      <xdr:rowOff>57150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EAFF77DC-D710-4BCD-B06E-5EDAB5BF9CF2}"/>
            </a:ext>
          </a:extLst>
        </xdr:cNvPr>
        <xdr:cNvCxnSpPr/>
      </xdr:nvCxnSpPr>
      <xdr:spPr>
        <a:xfrm>
          <a:off x="8490585" y="4446270"/>
          <a:ext cx="296989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209550</xdr:colOff>
      <xdr:row>24</xdr:row>
      <xdr:rowOff>161925</xdr:rowOff>
    </xdr:from>
    <xdr:to>
      <xdr:col>58</xdr:col>
      <xdr:colOff>76200</xdr:colOff>
      <xdr:row>36</xdr:row>
      <xdr:rowOff>133350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5E17E1DA-A3E8-4319-A51E-C964C33AAD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olina Pineda Sanmartin" refreshedDate="45823.596315509261" createdVersion="8" refreshedVersion="8" minRefreshableVersion="3" recordCount="2" xr:uid="{7DDF39FD-8B81-46DC-9D9A-43E6A27D8DDC}">
  <cacheSource type="worksheet">
    <worksheetSource name="ventas"/>
  </cacheSource>
  <cacheFields count="11">
    <cacheField name="fecha" numFmtId="14">
      <sharedItems containsSemiMixedTypes="0" containsNonDate="0" containsDate="1" containsString="0" minDate="2025-06-15T00:00:00" maxDate="2025-06-16T00:00:00"/>
    </cacheField>
    <cacheField name="id" numFmtId="0">
      <sharedItems count="1">
        <s v="20250615140402-6215"/>
      </sharedItems>
    </cacheField>
    <cacheField name="producto" numFmtId="0">
      <sharedItems count="2">
        <s v="CC ZERO 1.5 Litros "/>
        <s v="Pepsi 2.5 Litros"/>
      </sharedItems>
    </cacheField>
    <cacheField name="cantidad" numFmtId="0">
      <sharedItems containsSemiMixedTypes="0" containsString="0" containsNumber="1" containsInteger="1" minValue="5" maxValue="7"/>
    </cacheField>
    <cacheField name="unds o pacas" numFmtId="0">
      <sharedItems/>
    </cacheField>
    <cacheField name="cliente" numFmtId="0">
      <sharedItems/>
    </cacheField>
    <cacheField name="Precio" numFmtId="0">
      <sharedItems containsSemiMixedTypes="0" containsString="0" containsNumber="1" containsInteger="1" minValue="5500" maxValue="5500"/>
    </cacheField>
    <cacheField name="Valor total" numFmtId="0">
      <sharedItems containsSemiMixedTypes="0" containsString="0" containsNumber="1" containsInteger="1" minValue="27500" maxValue="38500"/>
    </cacheField>
    <cacheField name="Categoria2" numFmtId="0">
      <sharedItems count="1">
        <s v="Refrescos"/>
      </sharedItems>
    </cacheField>
    <cacheField name="Marca" numFmtId="0">
      <sharedItems count="2">
        <s v="Coca Cola"/>
        <s v="Refrescos"/>
      </sharedItems>
    </cacheField>
    <cacheField name="Mes" numFmtId="0">
      <sharedItems count="1">
        <s v="jun"/>
      </sharedItems>
    </cacheField>
  </cacheFields>
  <extLst>
    <ext xmlns:x14="http://schemas.microsoft.com/office/spreadsheetml/2009/9/main" uri="{725AE2AE-9491-48be-B2B4-4EB974FC3084}">
      <x14:pivotCacheDefinition pivotCacheId="16569482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5-06-15T00:00:00"/>
    <x v="0"/>
    <x v="0"/>
    <n v="7"/>
    <s v="u"/>
    <s v="my friend"/>
    <n v="5500"/>
    <n v="38500"/>
    <x v="0"/>
    <x v="0"/>
    <x v="0"/>
  </r>
  <r>
    <d v="2025-06-15T00:00:00"/>
    <x v="0"/>
    <x v="1"/>
    <n v="5"/>
    <s v="u"/>
    <s v="my friend"/>
    <n v="5500"/>
    <n v="27500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13126-39A4-41BD-8999-4FBAF321EC5D}" name="TablaDinámica1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1:A2" firstHeaderRow="1" firstDataRow="1" firstDataCol="0"/>
  <pivotFields count="11"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Ventas" fld="7" baseField="2" baseItem="0" numFmtId="165"/>
  </dataFields>
  <formats count="1">
    <format dxfId="39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BEF5A-93DF-4244-8D10-2D80640FA9E6}" name="VentasCategoria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 rowHeaderCaption="Producto">
  <location ref="D36:E38" firstHeaderRow="1" firstDataRow="1" firstDataCol="1"/>
  <pivotFields count="11">
    <pivotField numFmtId="14" showAll="0"/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axis="axisRow" showAll="0">
      <items count="2">
        <item x="0"/>
        <item t="default"/>
      </items>
    </pivotField>
    <pivotField showAll="0"/>
    <pivotField showAll="0">
      <items count="2">
        <item x="0"/>
        <item t="default"/>
      </items>
    </pivotField>
  </pivotFields>
  <rowFields count="1">
    <field x="8"/>
  </rowFields>
  <rowItems count="2">
    <i>
      <x/>
    </i>
    <i t="grand">
      <x/>
    </i>
  </rowItems>
  <colItems count="1">
    <i/>
  </colItems>
  <dataFields count="1">
    <dataField name="Suma de Valor total" fld="7" baseField="0" baseItem="0" numFmtId="164"/>
  </dataFields>
  <formats count="1">
    <format dxfId="95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132C4-25D7-44A8-AA93-1BDEEBD219D3}" name="TablaDinámica2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D4:E6" firstHeaderRow="1" firstDataRow="1" firstDataCol="1"/>
  <pivotFields count="11">
    <pivotField numFmtId="14"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Cuenta de id" fld="1" subtotal="count" baseField="0" baseItem="0"/>
  </dataField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FD27A5-4968-48B0-989B-BFD035A377E1}" name="VentasMarca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 rowHeaderCaption="Producto">
  <location ref="J4:K7" firstHeaderRow="1" firstDataRow="1" firstDataCol="1"/>
  <pivotFields count="11">
    <pivotField numFmtId="14" showAll="0"/>
    <pivotField showAll="0"/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>
      <items count="2">
        <item x="0"/>
        <item t="default"/>
      </items>
    </pivotField>
  </pivotFields>
  <rowFields count="1">
    <field x="2"/>
  </rowFields>
  <rowItems count="3">
    <i>
      <x v="1"/>
    </i>
    <i>
      <x/>
    </i>
    <i t="grand">
      <x/>
    </i>
  </rowItems>
  <colItems count="1">
    <i/>
  </colItems>
  <dataFields count="1">
    <dataField name="Suma de Valor total" fld="7" baseField="0" baseItem="0" numFmtId="164"/>
  </dataFields>
  <formats count="1">
    <format dxfId="9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115C1-F7D3-4CE9-AB32-10FC2A91C6D4}" name="TablaDinámica5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6:B38" firstHeaderRow="1" firstDataRow="1" firstDataCol="1"/>
  <pivotFields count="11">
    <pivotField numFmtId="14" showAll="0"/>
    <pivotField showAll="0"/>
    <pivotField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8"/>
  </rowFields>
  <rowItems count="2">
    <i>
      <x/>
    </i>
    <i t="grand">
      <x/>
    </i>
  </rowItems>
  <colItems count="1">
    <i/>
  </colItems>
  <dataFields count="1">
    <dataField name="Suma de cantidad" fld="3" baseField="0" baseItem="0"/>
  </dataField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B65135-2904-4EAA-839C-E4D9EA49FC4F}" name="TablaDinámica7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 rowHeaderCaption="Producto">
  <location ref="A4:B7" firstHeaderRow="1" firstDataRow="1" firstDataCol="1"/>
  <pivotFields count="11">
    <pivotField numFmtId="14"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a de Valor total" fld="7" baseField="0" baseItem="0"/>
  </dataFields>
  <formats count="1">
    <format dxfId="97">
      <pivotArea outline="0" collapsedLevelsAreSubtotals="1" fieldPosition="0"/>
    </format>
  </format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C01D22-8474-40EB-A539-31D33EE2393E}" name="TablaDinámica3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 rowHeaderCaption="Producto">
  <location ref="G4:H6" firstHeaderRow="1" firstDataRow="1" firstDataCol="1"/>
  <pivotFields count="11"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2">
        <item x="0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</pivotFields>
  <rowFields count="1">
    <field x="10"/>
  </rowFields>
  <rowItems count="2">
    <i>
      <x/>
    </i>
    <i t="grand">
      <x/>
    </i>
  </rowItems>
  <colItems count="1">
    <i/>
  </colItems>
  <dataFields count="1">
    <dataField name="Suma de Valor total" fld="7" baseField="0" baseItem="0"/>
  </dataFields>
  <formats count="2">
    <format dxfId="98">
      <pivotArea collapsedLevelsAreSubtotals="1" fieldPosition="0">
        <references count="1">
          <reference field="10" count="0"/>
        </references>
      </pivotArea>
    </format>
    <format dxfId="99">
      <pivotArea grandRow="1"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33F875BA-76ED-47D2-834A-7691C809EDC3}" sourceName="Mes">
  <pivotTables>
    <pivotTable tabId="18" name="TablaDinámica3"/>
    <pivotTable tabId="18" name="VentasCategoria"/>
    <pivotTable tabId="18" name="VentasMarca"/>
  </pivotTables>
  <data>
    <tabular pivotCacheId="165694824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 1" xr10:uid="{020EDE90-66BD-46D9-A86C-6A38A54797AE}" cache="SegmentaciónDeDatos_Mes1" caption="Mes" style="Prueba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4" totalsRowShown="0" headerRowDxfId="111">
  <autoFilter ref="A1:D4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H122" totalsRowShown="0" headerRowBorderDxfId="110" tableBorderDxfId="109" totalsRowBorderDxfId="108">
  <autoFilter ref="A1:H122" xr:uid="{307DBC5F-3EDE-4581-A466-30A56BCA9DF4}"/>
  <tableColumns count="8">
    <tableColumn id="1" xr3:uid="{FC7FED7E-A956-40CF-81FF-3682E77EB9EA}" name="Producto" dataDxfId="107"/>
    <tableColumn id="5" xr3:uid="{88CEB127-22AC-4B12-881E-296A51693002}" name="cantidad tienda (unds)" dataDxfId="106"/>
    <tableColumn id="2" xr3:uid="{B2D53BD9-80E7-4D4E-86D9-0F5F56B66B20}" name="cantidad en bodega" dataDxfId="105"/>
    <tableColumn id="6" xr3:uid="{C9836B99-3FF1-4072-9E16-CF293A2F3374}" name="unds x paca" dataDxfId="104"/>
    <tableColumn id="3" xr3:uid="{B454491A-7D4E-4B08-B9E8-C1023FF19FFB}" name="precio" dataDxfId="103" dataCellStyle="Currency 2"/>
    <tableColumn id="4" xr3:uid="{46C16596-D287-49AC-966B-AC6C5F58B58E}" name="precio paca" dataDxfId="102">
      <calculatedColumnFormula>+inventario[[#This Row],[precio]]*inventario[[#This Row],[unds x paca]]</calculatedColumnFormula>
    </tableColumn>
    <tableColumn id="7" xr3:uid="{F3641AF2-EA22-4FBF-862C-8C7588310D41}" name="Marca"/>
    <tableColumn id="8" xr3:uid="{7B08057A-D853-4CEB-A655-665F420EB5E7}" name="categori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K3" totalsRowShown="0">
  <autoFilter ref="A1:K3" xr:uid="{33A84EF3-D179-4B69-A9D7-FC3CD80E8D25}"/>
  <tableColumns count="11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  <tableColumn id="7" xr3:uid="{E8B751D7-7648-47B7-B619-2DB8E8D372C9}" name="Precio" dataDxfId="52">
      <calculatedColumnFormula>IF(ventas[[#This Row],[unds o pacas]]="u",_xlfn.XLOOKUP(ventas[[#This Row],[producto]],inventario!A:A,inventario!E:E),_xlfn.XLOOKUP(ventas[[#This Row],[producto]],inventario!A:A,inventario!F:F))</calculatedColumnFormula>
    </tableColumn>
    <tableColumn id="8" xr3:uid="{2163C67A-A948-4BF1-9D33-52C7CE2EC309}" name="Valor total" dataDxfId="51">
      <calculatedColumnFormula>ventas[[#This Row],[cantidad]]*ventas[[#This Row],[Precio]]</calculatedColumnFormula>
    </tableColumn>
    <tableColumn id="9" xr3:uid="{63BB4904-48D6-43B5-9DAD-5DD5A4E0334E}" name="Categoria2" dataDxfId="50">
      <calculatedColumnFormula>_xlfn.XLOOKUP(ventas[[#This Row],[producto]],inventario[Producto],inventario[categoria])</calculatedColumnFormula>
    </tableColumn>
    <tableColumn id="10" xr3:uid="{C9DA2D2B-0A45-4015-A5F8-A9817CB83F88}" name="Marca" dataDxfId="49">
      <calculatedColumnFormula>_xlfn.XLOOKUP(ventas[[#This Row],[producto]],inventario[Producto],inventario[Marca])</calculatedColumnFormula>
    </tableColumn>
    <tableColumn id="11" xr3:uid="{800BEA57-2720-4B13-9635-AC9CA6503379}" name="Mes" dataDxfId="48">
      <calculatedColumnFormula>TEXT(ventas[[#This Row],[fecha]],"MMM")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4"/>
  <sheetViews>
    <sheetView workbookViewId="0">
      <selection activeCell="A3" sqref="A3:D3"/>
    </sheetView>
  </sheetViews>
  <sheetFormatPr baseColWidth="10" defaultColWidth="8.88671875" defaultRowHeight="14.4" x14ac:dyDescent="0.3"/>
  <cols>
    <col min="1" max="1" width="14.33203125" bestFit="1" customWidth="1"/>
    <col min="2" max="2" width="28.5546875" bestFit="1" customWidth="1"/>
    <col min="3" max="3" width="35.5546875" bestFit="1" customWidth="1"/>
    <col min="4" max="4" width="15.109375" bestFit="1" customWidth="1"/>
  </cols>
  <sheetData>
    <row r="1" spans="1:4" x14ac:dyDescent="0.3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3">
      <c r="A2">
        <v>2367890</v>
      </c>
      <c r="B2" t="s">
        <v>137</v>
      </c>
      <c r="C2" t="s">
        <v>138</v>
      </c>
      <c r="D2">
        <v>3272778</v>
      </c>
    </row>
    <row r="3" spans="1:4" x14ac:dyDescent="0.3">
      <c r="A3">
        <v>1234</v>
      </c>
      <c r="B3" t="s">
        <v>160</v>
      </c>
      <c r="C3" t="s">
        <v>161</v>
      </c>
      <c r="D3">
        <v>38759</v>
      </c>
    </row>
    <row r="4" spans="1:4" x14ac:dyDescent="0.3">
      <c r="A4">
        <v>23455</v>
      </c>
      <c r="B4">
        <v>111</v>
      </c>
      <c r="C4" t="s">
        <v>162</v>
      </c>
      <c r="D4">
        <v>1235353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2"/>
  <sheetViews>
    <sheetView workbookViewId="0">
      <selection activeCell="H1" sqref="H1"/>
    </sheetView>
  </sheetViews>
  <sheetFormatPr baseColWidth="10" defaultColWidth="8.88671875" defaultRowHeight="14.4" x14ac:dyDescent="0.3"/>
  <cols>
    <col min="1" max="1" width="38.6640625" bestFit="1" customWidth="1"/>
    <col min="2" max="3" width="38.6640625" customWidth="1"/>
    <col min="4" max="4" width="20.5546875" customWidth="1"/>
    <col min="5" max="5" width="13.109375" style="17" bestFit="1" customWidth="1"/>
    <col min="6" max="6" width="13.5546875" style="39" bestFit="1" customWidth="1"/>
  </cols>
  <sheetData>
    <row r="1" spans="1:8" x14ac:dyDescent="0.3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  <c r="F1" s="34" t="s">
        <v>159</v>
      </c>
      <c r="G1" s="45" t="s">
        <v>175</v>
      </c>
      <c r="H1" s="45" t="s">
        <v>193</v>
      </c>
    </row>
    <row r="2" spans="1:8" x14ac:dyDescent="0.3">
      <c r="A2" s="18" t="s">
        <v>7</v>
      </c>
      <c r="B2" s="18">
        <v>4</v>
      </c>
      <c r="C2" s="3">
        <v>20</v>
      </c>
      <c r="D2" s="33">
        <v>6</v>
      </c>
      <c r="E2" s="21">
        <v>10000</v>
      </c>
      <c r="F2" s="35">
        <f>+inventario[[#This Row],[precio]]*inventario[[#This Row],[unds x paca]]</f>
        <v>60000</v>
      </c>
      <c r="G2" t="s">
        <v>176</v>
      </c>
      <c r="H2" t="s">
        <v>170</v>
      </c>
    </row>
    <row r="3" spans="1:8" x14ac:dyDescent="0.3">
      <c r="A3" s="18" t="s">
        <v>8</v>
      </c>
      <c r="B3" s="18">
        <v>1</v>
      </c>
      <c r="C3" s="3">
        <v>30</v>
      </c>
      <c r="D3" s="33">
        <v>3</v>
      </c>
      <c r="E3" s="21">
        <v>0</v>
      </c>
      <c r="F3" s="35">
        <f>+inventario[[#This Row],[precio]]*inventario[[#This Row],[unds x paca]]</f>
        <v>0</v>
      </c>
      <c r="G3" t="s">
        <v>176</v>
      </c>
      <c r="H3" t="s">
        <v>170</v>
      </c>
    </row>
    <row r="4" spans="1:8" x14ac:dyDescent="0.3">
      <c r="A4" s="18" t="s">
        <v>9</v>
      </c>
      <c r="B4" s="18">
        <v>8</v>
      </c>
      <c r="C4" s="3">
        <v>0</v>
      </c>
      <c r="D4" s="33">
        <v>11</v>
      </c>
      <c r="E4" s="21">
        <v>6000</v>
      </c>
      <c r="F4" s="35">
        <f>+inventario[[#This Row],[precio]]*inventario[[#This Row],[unds x paca]]</f>
        <v>66000</v>
      </c>
      <c r="G4" t="s">
        <v>176</v>
      </c>
      <c r="H4" t="s">
        <v>170</v>
      </c>
    </row>
    <row r="5" spans="1:8" x14ac:dyDescent="0.3">
      <c r="A5" s="18" t="s">
        <v>10</v>
      </c>
      <c r="B5" s="18">
        <v>0</v>
      </c>
      <c r="C5" s="3">
        <v>22</v>
      </c>
      <c r="D5" s="33">
        <v>3</v>
      </c>
      <c r="E5" s="21">
        <v>5000</v>
      </c>
      <c r="F5" s="35">
        <f>+inventario[[#This Row],[precio]]*inventario[[#This Row],[unds x paca]]</f>
        <v>15000</v>
      </c>
      <c r="G5" t="s">
        <v>176</v>
      </c>
      <c r="H5" t="s">
        <v>170</v>
      </c>
    </row>
    <row r="6" spans="1:8" x14ac:dyDescent="0.3">
      <c r="A6" s="18" t="s">
        <v>11</v>
      </c>
      <c r="B6" s="18">
        <v>1</v>
      </c>
      <c r="C6" s="3">
        <v>29</v>
      </c>
      <c r="D6" s="33">
        <v>2</v>
      </c>
      <c r="E6" s="21"/>
      <c r="F6" s="35">
        <f>+inventario[[#This Row],[precio]]*inventario[[#This Row],[unds x paca]]</f>
        <v>0</v>
      </c>
      <c r="G6" t="s">
        <v>176</v>
      </c>
      <c r="H6" t="s">
        <v>170</v>
      </c>
    </row>
    <row r="7" spans="1:8" x14ac:dyDescent="0.3">
      <c r="A7" s="18" t="s">
        <v>12</v>
      </c>
      <c r="B7" s="18">
        <v>3</v>
      </c>
      <c r="C7" s="3">
        <v>21</v>
      </c>
      <c r="D7" s="33">
        <v>6</v>
      </c>
      <c r="E7" s="21">
        <v>5500</v>
      </c>
      <c r="F7" s="35">
        <f>+inventario[[#This Row],[precio]]*inventario[[#This Row],[unds x paca]]</f>
        <v>33000</v>
      </c>
      <c r="G7" t="s">
        <v>176</v>
      </c>
      <c r="H7" t="s">
        <v>170</v>
      </c>
    </row>
    <row r="8" spans="1:8" x14ac:dyDescent="0.3">
      <c r="A8" s="18" t="s">
        <v>13</v>
      </c>
      <c r="B8" s="18">
        <v>9</v>
      </c>
      <c r="C8" s="3">
        <v>8</v>
      </c>
      <c r="D8" s="33">
        <v>11</v>
      </c>
      <c r="E8" s="21">
        <v>3000</v>
      </c>
      <c r="F8" s="35">
        <f>+inventario[[#This Row],[precio]]*inventario[[#This Row],[unds x paca]]</f>
        <v>33000</v>
      </c>
      <c r="G8" t="s">
        <v>176</v>
      </c>
      <c r="H8" t="s">
        <v>170</v>
      </c>
    </row>
    <row r="9" spans="1:8" x14ac:dyDescent="0.3">
      <c r="A9" s="18" t="s">
        <v>14</v>
      </c>
      <c r="B9" s="18">
        <v>3</v>
      </c>
      <c r="C9" s="3">
        <v>7</v>
      </c>
      <c r="D9" s="33">
        <v>7</v>
      </c>
      <c r="E9" s="21">
        <v>0</v>
      </c>
      <c r="F9" s="35">
        <f>+inventario[[#This Row],[precio]]*inventario[[#This Row],[unds x paca]]</f>
        <v>0</v>
      </c>
      <c r="G9" t="s">
        <v>176</v>
      </c>
      <c r="H9" t="s">
        <v>170</v>
      </c>
    </row>
    <row r="10" spans="1:8" x14ac:dyDescent="0.3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  <c r="F10" s="35">
        <f>+inventario[[#This Row],[precio]]*inventario[[#This Row],[unds x paca]]</f>
        <v>4000</v>
      </c>
      <c r="G10" t="s">
        <v>176</v>
      </c>
      <c r="H10" t="s">
        <v>170</v>
      </c>
    </row>
    <row r="11" spans="1:8" x14ac:dyDescent="0.3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  <c r="F11" s="35">
        <f>+inventario[[#This Row],[precio]]*inventario[[#This Row],[unds x paca]]</f>
        <v>27500</v>
      </c>
      <c r="G11" t="s">
        <v>176</v>
      </c>
      <c r="H11" t="s">
        <v>170</v>
      </c>
    </row>
    <row r="12" spans="1:8" x14ac:dyDescent="0.3">
      <c r="A12" s="18" t="s">
        <v>17</v>
      </c>
      <c r="B12" s="18">
        <v>2</v>
      </c>
      <c r="C12" s="3">
        <v>36</v>
      </c>
      <c r="D12" s="33">
        <v>1</v>
      </c>
      <c r="E12" s="21">
        <v>0</v>
      </c>
      <c r="F12" s="35">
        <f>+inventario[[#This Row],[precio]]*inventario[[#This Row],[unds x paca]]</f>
        <v>0</v>
      </c>
      <c r="G12" t="s">
        <v>176</v>
      </c>
      <c r="H12" t="s">
        <v>170</v>
      </c>
    </row>
    <row r="13" spans="1:8" x14ac:dyDescent="0.3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  <c r="F13" s="35">
        <f>+inventario[[#This Row],[precio]]*inventario[[#This Row],[unds x paca]]</f>
        <v>0</v>
      </c>
      <c r="G13" t="s">
        <v>176</v>
      </c>
      <c r="H13" t="s">
        <v>170</v>
      </c>
    </row>
    <row r="14" spans="1:8" x14ac:dyDescent="0.3">
      <c r="A14" s="18" t="s">
        <v>19</v>
      </c>
      <c r="B14" s="18">
        <v>0</v>
      </c>
      <c r="C14" s="3">
        <v>33</v>
      </c>
      <c r="D14" s="33">
        <v>6</v>
      </c>
      <c r="E14" s="21">
        <v>2000</v>
      </c>
      <c r="F14" s="35">
        <f>+inventario[[#This Row],[precio]]*inventario[[#This Row],[unds x paca]]</f>
        <v>12000</v>
      </c>
      <c r="G14" t="s">
        <v>176</v>
      </c>
      <c r="H14" t="s">
        <v>170</v>
      </c>
    </row>
    <row r="15" spans="1:8" x14ac:dyDescent="0.3">
      <c r="A15" s="18" t="s">
        <v>20</v>
      </c>
      <c r="B15" s="18">
        <v>4</v>
      </c>
      <c r="C15" s="3">
        <v>35</v>
      </c>
      <c r="D15" s="33">
        <v>10</v>
      </c>
      <c r="E15" s="21">
        <v>1000</v>
      </c>
      <c r="F15" s="35">
        <f>+inventario[[#This Row],[precio]]*inventario[[#This Row],[unds x paca]]</f>
        <v>10000</v>
      </c>
      <c r="G15" t="s">
        <v>177</v>
      </c>
      <c r="H15" t="s">
        <v>168</v>
      </c>
    </row>
    <row r="16" spans="1:8" x14ac:dyDescent="0.3">
      <c r="A16" s="18" t="s">
        <v>139</v>
      </c>
      <c r="B16" s="18">
        <v>1</v>
      </c>
      <c r="C16" s="3">
        <v>1</v>
      </c>
      <c r="D16" s="33">
        <v>10</v>
      </c>
      <c r="E16" s="21">
        <v>0</v>
      </c>
      <c r="F16" s="35">
        <f>+inventario[[#This Row],[precio]]*inventario[[#This Row],[unds x paca]]</f>
        <v>0</v>
      </c>
      <c r="G16" t="s">
        <v>176</v>
      </c>
      <c r="H16" t="s">
        <v>170</v>
      </c>
    </row>
    <row r="17" spans="1:8" x14ac:dyDescent="0.3">
      <c r="A17" s="18" t="s">
        <v>140</v>
      </c>
      <c r="B17" s="18">
        <v>5</v>
      </c>
      <c r="C17" s="3">
        <v>1</v>
      </c>
      <c r="D17" s="33">
        <v>1</v>
      </c>
      <c r="E17" s="21">
        <v>0</v>
      </c>
      <c r="F17" s="35">
        <f>+inventario[[#This Row],[precio]]*inventario[[#This Row],[unds x paca]]</f>
        <v>0</v>
      </c>
      <c r="G17" t="s">
        <v>176</v>
      </c>
      <c r="H17" t="s">
        <v>170</v>
      </c>
    </row>
    <row r="18" spans="1:8" x14ac:dyDescent="0.3">
      <c r="A18" s="18" t="s">
        <v>141</v>
      </c>
      <c r="B18" s="18">
        <v>3</v>
      </c>
      <c r="C18" s="3"/>
      <c r="D18" s="33">
        <v>10</v>
      </c>
      <c r="E18" s="22">
        <v>0</v>
      </c>
      <c r="F18" s="36">
        <f>+inventario[[#This Row],[precio]]*inventario[[#This Row],[unds x paca]]</f>
        <v>0</v>
      </c>
      <c r="G18" t="s">
        <v>170</v>
      </c>
      <c r="H18" t="s">
        <v>170</v>
      </c>
    </row>
    <row r="19" spans="1:8" x14ac:dyDescent="0.3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  <c r="F19" s="35">
        <f>+inventario[[#This Row],[precio]]*inventario[[#This Row],[unds x paca]]</f>
        <v>0</v>
      </c>
      <c r="G19" t="s">
        <v>178</v>
      </c>
      <c r="H19" t="s">
        <v>170</v>
      </c>
    </row>
    <row r="20" spans="1:8" x14ac:dyDescent="0.3">
      <c r="A20" s="18" t="s">
        <v>22</v>
      </c>
      <c r="B20" s="18">
        <v>2</v>
      </c>
      <c r="C20" s="3">
        <v>18</v>
      </c>
      <c r="D20" s="33">
        <v>2</v>
      </c>
      <c r="E20" s="21">
        <v>0</v>
      </c>
      <c r="F20" s="35">
        <f>+inventario[[#This Row],[precio]]*inventario[[#This Row],[unds x paca]]</f>
        <v>0</v>
      </c>
      <c r="G20" t="s">
        <v>178</v>
      </c>
      <c r="H20" t="s">
        <v>170</v>
      </c>
    </row>
    <row r="21" spans="1:8" x14ac:dyDescent="0.3">
      <c r="A21" s="18" t="s">
        <v>23</v>
      </c>
      <c r="B21" s="18">
        <v>5</v>
      </c>
      <c r="C21" s="3">
        <v>25</v>
      </c>
      <c r="D21" s="33">
        <v>8</v>
      </c>
      <c r="E21" s="21">
        <v>5500</v>
      </c>
      <c r="F21" s="35">
        <f>+inventario[[#This Row],[precio]]*inventario[[#This Row],[unds x paca]]</f>
        <v>44000</v>
      </c>
      <c r="G21" t="s">
        <v>170</v>
      </c>
      <c r="H21" t="s">
        <v>170</v>
      </c>
    </row>
    <row r="22" spans="1:8" x14ac:dyDescent="0.3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  <c r="F22" s="35">
        <f>+inventario[[#This Row],[precio]]*inventario[[#This Row],[unds x paca]]</f>
        <v>0</v>
      </c>
      <c r="G22" t="s">
        <v>178</v>
      </c>
      <c r="H22" t="s">
        <v>170</v>
      </c>
    </row>
    <row r="23" spans="1:8" x14ac:dyDescent="0.3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  <c r="F23" s="35">
        <f>+inventario[[#This Row],[precio]]*inventario[[#This Row],[unds x paca]]</f>
        <v>24000</v>
      </c>
      <c r="G23" t="s">
        <v>170</v>
      </c>
      <c r="H23" t="s">
        <v>170</v>
      </c>
    </row>
    <row r="24" spans="1:8" x14ac:dyDescent="0.3">
      <c r="A24" s="18" t="s">
        <v>26</v>
      </c>
      <c r="B24" s="18">
        <v>9</v>
      </c>
      <c r="C24" s="3">
        <v>20</v>
      </c>
      <c r="D24" s="33">
        <v>10</v>
      </c>
      <c r="E24" s="21">
        <v>2500</v>
      </c>
      <c r="F24" s="35">
        <f>+inventario[[#This Row],[precio]]*inventario[[#This Row],[unds x paca]]</f>
        <v>25000</v>
      </c>
      <c r="G24" t="s">
        <v>170</v>
      </c>
      <c r="H24" t="s">
        <v>170</v>
      </c>
    </row>
    <row r="25" spans="1:8" x14ac:dyDescent="0.3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  <c r="F25" s="35">
        <f>+inventario[[#This Row],[precio]]*inventario[[#This Row],[unds x paca]]</f>
        <v>12000</v>
      </c>
      <c r="G25" t="s">
        <v>170</v>
      </c>
      <c r="H25" t="s">
        <v>170</v>
      </c>
    </row>
    <row r="26" spans="1:8" x14ac:dyDescent="0.3">
      <c r="A26" s="18" t="s">
        <v>28</v>
      </c>
      <c r="B26" s="18">
        <v>1</v>
      </c>
      <c r="C26" s="3">
        <v>30</v>
      </c>
      <c r="D26" s="33">
        <v>10</v>
      </c>
      <c r="E26" s="21">
        <v>2000</v>
      </c>
      <c r="F26" s="35">
        <f>+inventario[[#This Row],[precio]]*inventario[[#This Row],[unds x paca]]</f>
        <v>20000</v>
      </c>
      <c r="G26" t="s">
        <v>179</v>
      </c>
      <c r="H26" t="s">
        <v>168</v>
      </c>
    </row>
    <row r="27" spans="1:8" x14ac:dyDescent="0.3">
      <c r="A27" s="18" t="s">
        <v>29</v>
      </c>
      <c r="B27" s="18">
        <v>5</v>
      </c>
      <c r="C27" s="3">
        <v>24</v>
      </c>
      <c r="D27" s="33">
        <v>1</v>
      </c>
      <c r="E27" s="21">
        <v>0</v>
      </c>
      <c r="F27" s="35">
        <f>+inventario[[#This Row],[precio]]*inventario[[#This Row],[unds x paca]]</f>
        <v>0</v>
      </c>
      <c r="G27" t="s">
        <v>178</v>
      </c>
      <c r="H27" t="s">
        <v>170</v>
      </c>
    </row>
    <row r="28" spans="1:8" x14ac:dyDescent="0.3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  <c r="F28" s="35">
        <f>+inventario[[#This Row],[precio]]*inventario[[#This Row],[unds x paca]]</f>
        <v>0</v>
      </c>
      <c r="G28" t="s">
        <v>170</v>
      </c>
      <c r="H28" t="s">
        <v>170</v>
      </c>
    </row>
    <row r="29" spans="1:8" x14ac:dyDescent="0.3">
      <c r="A29" s="18" t="s">
        <v>31</v>
      </c>
      <c r="B29" s="18">
        <v>4</v>
      </c>
      <c r="C29" s="3">
        <v>19</v>
      </c>
      <c r="D29" s="33">
        <v>0</v>
      </c>
      <c r="E29" s="21">
        <v>0</v>
      </c>
      <c r="F29" s="35">
        <f>+inventario[[#This Row],[precio]]*inventario[[#This Row],[unds x paca]]</f>
        <v>0</v>
      </c>
      <c r="G29" t="s">
        <v>178</v>
      </c>
      <c r="H29" t="s">
        <v>170</v>
      </c>
    </row>
    <row r="30" spans="1:8" x14ac:dyDescent="0.3">
      <c r="A30" s="18" t="s">
        <v>32</v>
      </c>
      <c r="B30" s="18">
        <v>3</v>
      </c>
      <c r="C30" s="3">
        <v>18</v>
      </c>
      <c r="D30" s="33">
        <v>10</v>
      </c>
      <c r="E30" s="21">
        <v>0</v>
      </c>
      <c r="F30" s="35">
        <f>+inventario[[#This Row],[precio]]*inventario[[#This Row],[unds x paca]]</f>
        <v>0</v>
      </c>
      <c r="G30" t="s">
        <v>170</v>
      </c>
      <c r="H30" t="s">
        <v>170</v>
      </c>
    </row>
    <row r="31" spans="1:8" x14ac:dyDescent="0.3">
      <c r="A31" s="18" t="s">
        <v>33</v>
      </c>
      <c r="B31" s="18">
        <v>1</v>
      </c>
      <c r="C31" s="3">
        <v>19</v>
      </c>
      <c r="D31" s="33">
        <v>2</v>
      </c>
      <c r="E31" s="21">
        <v>0</v>
      </c>
      <c r="F31" s="35">
        <f>+inventario[[#This Row],[precio]]*inventario[[#This Row],[unds x paca]]</f>
        <v>0</v>
      </c>
      <c r="G31" t="s">
        <v>170</v>
      </c>
      <c r="H31" t="s">
        <v>170</v>
      </c>
    </row>
    <row r="32" spans="1:8" x14ac:dyDescent="0.3">
      <c r="A32" s="18" t="s">
        <v>34</v>
      </c>
      <c r="B32" s="18">
        <v>1</v>
      </c>
      <c r="C32" s="3">
        <v>40</v>
      </c>
      <c r="D32" s="33">
        <v>2</v>
      </c>
      <c r="E32" s="21">
        <v>0</v>
      </c>
      <c r="F32" s="35">
        <f>+inventario[[#This Row],[precio]]*inventario[[#This Row],[unds x paca]]</f>
        <v>0</v>
      </c>
      <c r="G32" t="s">
        <v>170</v>
      </c>
      <c r="H32" t="s">
        <v>170</v>
      </c>
    </row>
    <row r="33" spans="1:8" x14ac:dyDescent="0.3">
      <c r="A33" s="18" t="s">
        <v>35</v>
      </c>
      <c r="B33" s="18">
        <v>2</v>
      </c>
      <c r="C33" s="3">
        <v>40</v>
      </c>
      <c r="D33" s="33">
        <v>2</v>
      </c>
      <c r="E33" s="21">
        <v>2000</v>
      </c>
      <c r="F33" s="35">
        <f>+inventario[[#This Row],[precio]]*inventario[[#This Row],[unds x paca]]</f>
        <v>4000</v>
      </c>
      <c r="G33" t="s">
        <v>170</v>
      </c>
      <c r="H33" t="s">
        <v>170</v>
      </c>
    </row>
    <row r="34" spans="1:8" x14ac:dyDescent="0.3">
      <c r="A34" s="18" t="s">
        <v>36</v>
      </c>
      <c r="B34" s="18">
        <v>3</v>
      </c>
      <c r="C34" s="3">
        <v>37</v>
      </c>
      <c r="D34" s="33">
        <v>8</v>
      </c>
      <c r="E34" s="21">
        <v>1600</v>
      </c>
      <c r="F34" s="35">
        <f>+inventario[[#This Row],[precio]]*inventario[[#This Row],[unds x paca]]</f>
        <v>12800</v>
      </c>
      <c r="G34" t="s">
        <v>170</v>
      </c>
      <c r="H34" t="s">
        <v>170</v>
      </c>
    </row>
    <row r="35" spans="1:8" x14ac:dyDescent="0.3">
      <c r="A35" s="18" t="s">
        <v>142</v>
      </c>
      <c r="B35" s="18">
        <v>0</v>
      </c>
      <c r="C35" s="3"/>
      <c r="D35" s="33">
        <v>5</v>
      </c>
      <c r="E35" s="21">
        <v>3400</v>
      </c>
      <c r="F35" s="35">
        <f>+inventario[[#This Row],[precio]]*inventario[[#This Row],[unds x paca]]</f>
        <v>17000</v>
      </c>
      <c r="G35" t="s">
        <v>170</v>
      </c>
      <c r="H35" t="s">
        <v>170</v>
      </c>
    </row>
    <row r="36" spans="1:8" x14ac:dyDescent="0.3">
      <c r="A36" s="18" t="s">
        <v>37</v>
      </c>
      <c r="B36" s="18">
        <v>3</v>
      </c>
      <c r="C36" s="3">
        <v>26</v>
      </c>
      <c r="D36" s="33">
        <v>2</v>
      </c>
      <c r="E36" s="21">
        <v>3500</v>
      </c>
      <c r="F36" s="35">
        <f>+inventario[[#This Row],[precio]]*inventario[[#This Row],[unds x paca]]</f>
        <v>7000</v>
      </c>
      <c r="G36" t="s">
        <v>180</v>
      </c>
      <c r="H36" t="s">
        <v>169</v>
      </c>
    </row>
    <row r="37" spans="1:8" x14ac:dyDescent="0.3">
      <c r="A37" s="18" t="s">
        <v>38</v>
      </c>
      <c r="B37" s="18">
        <v>2</v>
      </c>
      <c r="C37" s="3">
        <v>38</v>
      </c>
      <c r="D37" s="33">
        <v>11</v>
      </c>
      <c r="E37" s="21">
        <v>3500</v>
      </c>
      <c r="F37" s="35">
        <f>+inventario[[#This Row],[precio]]*inventario[[#This Row],[unds x paca]]</f>
        <v>38500</v>
      </c>
      <c r="G37" t="s">
        <v>181</v>
      </c>
      <c r="H37" t="s">
        <v>169</v>
      </c>
    </row>
    <row r="38" spans="1:8" x14ac:dyDescent="0.3">
      <c r="A38" s="18" t="s">
        <v>39</v>
      </c>
      <c r="B38" s="18">
        <v>3</v>
      </c>
      <c r="C38" s="3">
        <v>14</v>
      </c>
      <c r="D38" s="33">
        <v>6</v>
      </c>
      <c r="E38" s="21">
        <v>3500</v>
      </c>
      <c r="F38" s="35">
        <f>+inventario[[#This Row],[precio]]*inventario[[#This Row],[unds x paca]]</f>
        <v>21000</v>
      </c>
      <c r="G38" t="s">
        <v>180</v>
      </c>
      <c r="H38" t="s">
        <v>169</v>
      </c>
    </row>
    <row r="39" spans="1:8" x14ac:dyDescent="0.3">
      <c r="A39" s="18" t="s">
        <v>40</v>
      </c>
      <c r="B39" s="18">
        <v>5</v>
      </c>
      <c r="C39" s="3">
        <v>15</v>
      </c>
      <c r="D39" s="33">
        <v>8</v>
      </c>
      <c r="E39" s="21">
        <v>0</v>
      </c>
      <c r="F39" s="35">
        <f>+inventario[[#This Row],[precio]]*inventario[[#This Row],[unds x paca]]</f>
        <v>0</v>
      </c>
      <c r="G39" t="s">
        <v>40</v>
      </c>
      <c r="H39" t="s">
        <v>169</v>
      </c>
    </row>
    <row r="40" spans="1:8" x14ac:dyDescent="0.3">
      <c r="A40" s="18" t="s">
        <v>41</v>
      </c>
      <c r="B40" s="18">
        <v>4</v>
      </c>
      <c r="C40" s="3">
        <v>8</v>
      </c>
      <c r="D40" s="33">
        <v>11</v>
      </c>
      <c r="E40" s="21">
        <v>0</v>
      </c>
      <c r="F40" s="35">
        <f>+inventario[[#This Row],[precio]]*inventario[[#This Row],[unds x paca]]</f>
        <v>0</v>
      </c>
      <c r="G40" t="s">
        <v>41</v>
      </c>
      <c r="H40" t="s">
        <v>169</v>
      </c>
    </row>
    <row r="41" spans="1:8" x14ac:dyDescent="0.3">
      <c r="A41" s="18" t="s">
        <v>42</v>
      </c>
      <c r="B41" s="18">
        <v>3</v>
      </c>
      <c r="C41" s="3">
        <v>36</v>
      </c>
      <c r="D41" s="33">
        <v>0</v>
      </c>
      <c r="E41" s="21">
        <v>0</v>
      </c>
      <c r="F41" s="35">
        <f>+inventario[[#This Row],[precio]]*inventario[[#This Row],[unds x paca]]</f>
        <v>0</v>
      </c>
      <c r="G41" t="s">
        <v>182</v>
      </c>
      <c r="H41" t="s">
        <v>169</v>
      </c>
    </row>
    <row r="42" spans="1:8" x14ac:dyDescent="0.3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  <c r="F42" s="35">
        <f>+inventario[[#This Row],[precio]]*inventario[[#This Row],[unds x paca]]</f>
        <v>0</v>
      </c>
      <c r="G42" t="s">
        <v>182</v>
      </c>
      <c r="H42" t="s">
        <v>169</v>
      </c>
    </row>
    <row r="43" spans="1:8" x14ac:dyDescent="0.3">
      <c r="A43" s="18" t="s">
        <v>44</v>
      </c>
      <c r="B43" s="18">
        <v>2</v>
      </c>
      <c r="C43" s="3">
        <v>7</v>
      </c>
      <c r="D43" s="33">
        <v>5</v>
      </c>
      <c r="E43" s="21">
        <v>0</v>
      </c>
      <c r="F43" s="35">
        <f>+inventario[[#This Row],[precio]]*inventario[[#This Row],[unds x paca]]</f>
        <v>0</v>
      </c>
      <c r="G43" t="s">
        <v>182</v>
      </c>
      <c r="H43" t="s">
        <v>169</v>
      </c>
    </row>
    <row r="44" spans="1:8" x14ac:dyDescent="0.3">
      <c r="A44" s="18" t="s">
        <v>45</v>
      </c>
      <c r="B44" s="18">
        <v>1</v>
      </c>
      <c r="C44" s="3">
        <v>36</v>
      </c>
      <c r="D44" s="33">
        <v>4</v>
      </c>
      <c r="E44" s="21">
        <v>0</v>
      </c>
      <c r="F44" s="35">
        <f>+inventario[[#This Row],[precio]]*inventario[[#This Row],[unds x paca]]</f>
        <v>0</v>
      </c>
      <c r="G44" t="s">
        <v>182</v>
      </c>
      <c r="H44" t="s">
        <v>169</v>
      </c>
    </row>
    <row r="45" spans="1:8" x14ac:dyDescent="0.3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  <c r="F45" s="35">
        <f>+inventario[[#This Row],[precio]]*inventario[[#This Row],[unds x paca]]</f>
        <v>0</v>
      </c>
      <c r="G45" t="s">
        <v>170</v>
      </c>
      <c r="H45" t="s">
        <v>170</v>
      </c>
    </row>
    <row r="46" spans="1:8" x14ac:dyDescent="0.3">
      <c r="A46" s="18" t="s">
        <v>47</v>
      </c>
      <c r="B46" s="18">
        <v>3</v>
      </c>
      <c r="C46" s="3">
        <v>7</v>
      </c>
      <c r="D46" s="33">
        <v>10</v>
      </c>
      <c r="E46" s="21">
        <v>0</v>
      </c>
      <c r="F46" s="35">
        <f>+inventario[[#This Row],[precio]]*inventario[[#This Row],[unds x paca]]</f>
        <v>0</v>
      </c>
      <c r="G46" t="s">
        <v>41</v>
      </c>
      <c r="H46" t="s">
        <v>169</v>
      </c>
    </row>
    <row r="47" spans="1:8" x14ac:dyDescent="0.3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  <c r="F47" s="35">
        <f>+inventario[[#This Row],[precio]]*inventario[[#This Row],[unds x paca]]</f>
        <v>10500</v>
      </c>
      <c r="G47" t="s">
        <v>180</v>
      </c>
      <c r="H47" t="s">
        <v>169</v>
      </c>
    </row>
    <row r="48" spans="1:8" x14ac:dyDescent="0.3">
      <c r="A48" s="18" t="s">
        <v>49</v>
      </c>
      <c r="B48" s="18">
        <v>3</v>
      </c>
      <c r="C48" s="3">
        <v>9</v>
      </c>
      <c r="D48" s="33">
        <v>8</v>
      </c>
      <c r="E48" s="21">
        <v>3500</v>
      </c>
      <c r="F48" s="35">
        <f>+inventario[[#This Row],[precio]]*inventario[[#This Row],[unds x paca]]</f>
        <v>28000</v>
      </c>
      <c r="G48" t="s">
        <v>181</v>
      </c>
      <c r="H48" t="s">
        <v>169</v>
      </c>
    </row>
    <row r="49" spans="1:8" x14ac:dyDescent="0.3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  <c r="F49" s="35">
        <f>+inventario[[#This Row],[precio]]*inventario[[#This Row],[unds x paca]]</f>
        <v>10500</v>
      </c>
      <c r="G49" t="s">
        <v>180</v>
      </c>
      <c r="H49" t="s">
        <v>169</v>
      </c>
    </row>
    <row r="50" spans="1:8" x14ac:dyDescent="0.3">
      <c r="A50" s="18" t="s">
        <v>51</v>
      </c>
      <c r="B50" s="18">
        <v>4</v>
      </c>
      <c r="C50" s="3">
        <v>8</v>
      </c>
      <c r="D50" s="33">
        <v>10</v>
      </c>
      <c r="E50" s="21">
        <v>0</v>
      </c>
      <c r="F50" s="35">
        <f>+inventario[[#This Row],[precio]]*inventario[[#This Row],[unds x paca]]</f>
        <v>0</v>
      </c>
      <c r="G50" t="s">
        <v>40</v>
      </c>
      <c r="H50" t="s">
        <v>169</v>
      </c>
    </row>
    <row r="51" spans="1:8" x14ac:dyDescent="0.3">
      <c r="A51" s="18" t="s">
        <v>52</v>
      </c>
      <c r="B51" s="18">
        <v>6</v>
      </c>
      <c r="C51" s="3">
        <v>32</v>
      </c>
      <c r="D51" s="33">
        <v>8</v>
      </c>
      <c r="E51" s="21">
        <v>0</v>
      </c>
      <c r="F51" s="35">
        <f>+inventario[[#This Row],[precio]]*inventario[[#This Row],[unds x paca]]</f>
        <v>0</v>
      </c>
      <c r="G51" t="s">
        <v>182</v>
      </c>
      <c r="H51" t="s">
        <v>169</v>
      </c>
    </row>
    <row r="52" spans="1:8" x14ac:dyDescent="0.3">
      <c r="A52" s="18" t="s">
        <v>53</v>
      </c>
      <c r="B52" s="18">
        <v>6</v>
      </c>
      <c r="C52" s="3">
        <v>12</v>
      </c>
      <c r="D52" s="33">
        <v>6</v>
      </c>
      <c r="E52" s="21">
        <v>0</v>
      </c>
      <c r="F52" s="35">
        <f>+inventario[[#This Row],[precio]]*inventario[[#This Row],[unds x paca]]</f>
        <v>0</v>
      </c>
      <c r="G52" t="s">
        <v>170</v>
      </c>
      <c r="H52" t="s">
        <v>170</v>
      </c>
    </row>
    <row r="53" spans="1:8" x14ac:dyDescent="0.3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  <c r="F53" s="35">
        <f>+inventario[[#This Row],[precio]]*inventario[[#This Row],[unds x paca]]</f>
        <v>24000</v>
      </c>
      <c r="G53" t="s">
        <v>180</v>
      </c>
      <c r="H53" t="s">
        <v>169</v>
      </c>
    </row>
    <row r="54" spans="1:8" x14ac:dyDescent="0.3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  <c r="F54" s="35">
        <f>+inventario[[#This Row],[precio]]*inventario[[#This Row],[unds x paca]]</f>
        <v>8000</v>
      </c>
      <c r="G54" t="s">
        <v>181</v>
      </c>
      <c r="H54" t="s">
        <v>169</v>
      </c>
    </row>
    <row r="55" spans="1:8" x14ac:dyDescent="0.3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  <c r="F55" s="35">
        <f>+inventario[[#This Row],[precio]]*inventario[[#This Row],[unds x paca]]</f>
        <v>44000</v>
      </c>
      <c r="G55" t="s">
        <v>180</v>
      </c>
      <c r="H55" t="s">
        <v>169</v>
      </c>
    </row>
    <row r="56" spans="1:8" x14ac:dyDescent="0.3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  <c r="F56" s="35">
        <f>+inventario[[#This Row],[precio]]*inventario[[#This Row],[unds x paca]]</f>
        <v>32000</v>
      </c>
      <c r="G56" t="s">
        <v>40</v>
      </c>
      <c r="H56" t="s">
        <v>169</v>
      </c>
    </row>
    <row r="57" spans="1:8" x14ac:dyDescent="0.3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  <c r="F57" s="35">
        <f>+inventario[[#This Row],[precio]]*inventario[[#This Row],[unds x paca]]</f>
        <v>13000</v>
      </c>
      <c r="G57" t="s">
        <v>180</v>
      </c>
      <c r="H57" t="s">
        <v>169</v>
      </c>
    </row>
    <row r="58" spans="1:8" x14ac:dyDescent="0.3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  <c r="F58" s="35">
        <f>+inventario[[#This Row],[precio]]*inventario[[#This Row],[unds x paca]]</f>
        <v>65000</v>
      </c>
      <c r="G58" t="s">
        <v>181</v>
      </c>
      <c r="H58" t="s">
        <v>169</v>
      </c>
    </row>
    <row r="59" spans="1:8" x14ac:dyDescent="0.3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  <c r="F59" s="35">
        <f>+inventario[[#This Row],[precio]]*inventario[[#This Row],[unds x paca]]</f>
        <v>0</v>
      </c>
      <c r="G59" t="s">
        <v>180</v>
      </c>
      <c r="H59" t="s">
        <v>169</v>
      </c>
    </row>
    <row r="60" spans="1:8" x14ac:dyDescent="0.3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  <c r="F60" s="35">
        <f>+inventario[[#This Row],[precio]]*inventario[[#This Row],[unds x paca]]</f>
        <v>71500</v>
      </c>
      <c r="G60" t="s">
        <v>40</v>
      </c>
      <c r="H60" t="s">
        <v>169</v>
      </c>
    </row>
    <row r="61" spans="1:8" x14ac:dyDescent="0.3">
      <c r="A61" s="18" t="s">
        <v>62</v>
      </c>
      <c r="B61" s="18">
        <v>3</v>
      </c>
      <c r="C61" s="3">
        <v>35</v>
      </c>
      <c r="D61" s="33">
        <v>7</v>
      </c>
      <c r="E61" s="21">
        <v>0</v>
      </c>
      <c r="F61" s="35">
        <f>+inventario[[#This Row],[precio]]*inventario[[#This Row],[unds x paca]]</f>
        <v>0</v>
      </c>
      <c r="G61" t="s">
        <v>182</v>
      </c>
      <c r="H61" t="s">
        <v>169</v>
      </c>
    </row>
    <row r="62" spans="1:8" x14ac:dyDescent="0.3">
      <c r="A62" s="18" t="s">
        <v>63</v>
      </c>
      <c r="B62" s="18">
        <v>0</v>
      </c>
      <c r="C62" s="3">
        <v>7</v>
      </c>
      <c r="D62" s="33">
        <v>12</v>
      </c>
      <c r="E62" s="21">
        <v>0</v>
      </c>
      <c r="F62" s="35">
        <f>+inventario[[#This Row],[precio]]*inventario[[#This Row],[unds x paca]]</f>
        <v>0</v>
      </c>
      <c r="G62" t="s">
        <v>180</v>
      </c>
      <c r="H62" t="s">
        <v>169</v>
      </c>
    </row>
    <row r="63" spans="1:8" x14ac:dyDescent="0.3">
      <c r="A63" s="18" t="s">
        <v>64</v>
      </c>
      <c r="B63" s="18">
        <v>4</v>
      </c>
      <c r="C63" s="3">
        <v>25</v>
      </c>
      <c r="D63" s="33">
        <v>1</v>
      </c>
      <c r="E63" s="21">
        <v>0</v>
      </c>
      <c r="F63" s="35">
        <f>+inventario[[#This Row],[precio]]*inventario[[#This Row],[unds x paca]]</f>
        <v>0</v>
      </c>
      <c r="G63" t="s">
        <v>181</v>
      </c>
      <c r="H63" t="s">
        <v>169</v>
      </c>
    </row>
    <row r="64" spans="1:8" x14ac:dyDescent="0.3">
      <c r="A64" s="18" t="s">
        <v>65</v>
      </c>
      <c r="B64" s="18">
        <v>5</v>
      </c>
      <c r="C64" s="3">
        <v>24</v>
      </c>
      <c r="D64" s="33">
        <v>1</v>
      </c>
      <c r="E64" s="21">
        <v>0</v>
      </c>
      <c r="F64" s="35">
        <f>+inventario[[#This Row],[precio]]*inventario[[#This Row],[unds x paca]]</f>
        <v>0</v>
      </c>
      <c r="G64" t="s">
        <v>40</v>
      </c>
      <c r="H64" t="s">
        <v>169</v>
      </c>
    </row>
    <row r="65" spans="1:8" x14ac:dyDescent="0.3">
      <c r="A65" s="19" t="s">
        <v>66</v>
      </c>
      <c r="B65" s="19">
        <v>2</v>
      </c>
      <c r="C65" s="3">
        <v>19</v>
      </c>
      <c r="D65" s="33">
        <v>2</v>
      </c>
      <c r="E65" s="23">
        <v>0</v>
      </c>
      <c r="F65" s="37">
        <f>+inventario[[#This Row],[precio]]*inventario[[#This Row],[unds x paca]]</f>
        <v>0</v>
      </c>
      <c r="G65" t="s">
        <v>183</v>
      </c>
      <c r="H65" t="s">
        <v>170</v>
      </c>
    </row>
    <row r="66" spans="1:8" x14ac:dyDescent="0.3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  <c r="F66" s="37">
        <f>+inventario[[#This Row],[precio]]*inventario[[#This Row],[unds x paca]]</f>
        <v>12500</v>
      </c>
      <c r="G66" t="s">
        <v>170</v>
      </c>
      <c r="H66" t="s">
        <v>170</v>
      </c>
    </row>
    <row r="67" spans="1:8" x14ac:dyDescent="0.3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  <c r="F67" s="37">
        <f>+inventario[[#This Row],[precio]]*inventario[[#This Row],[unds x paca]]</f>
        <v>1300</v>
      </c>
      <c r="G67" t="s">
        <v>170</v>
      </c>
      <c r="H67" t="s">
        <v>170</v>
      </c>
    </row>
    <row r="68" spans="1:8" x14ac:dyDescent="0.3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  <c r="F68" s="37">
        <f>+inventario[[#This Row],[precio]]*inventario[[#This Row],[unds x paca]]</f>
        <v>40000</v>
      </c>
      <c r="G68" t="s">
        <v>170</v>
      </c>
      <c r="H68" t="s">
        <v>170</v>
      </c>
    </row>
    <row r="69" spans="1:8" x14ac:dyDescent="0.3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  <c r="F69" s="37">
        <f>+inventario[[#This Row],[precio]]*inventario[[#This Row],[unds x paca]]</f>
        <v>27500</v>
      </c>
      <c r="G69" t="s">
        <v>170</v>
      </c>
      <c r="H69" t="s">
        <v>170</v>
      </c>
    </row>
    <row r="70" spans="1:8" x14ac:dyDescent="0.3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  <c r="F70" s="37">
        <f>+inventario[[#This Row],[precio]]*inventario[[#This Row],[unds x paca]]</f>
        <v>0</v>
      </c>
      <c r="G70" t="s">
        <v>170</v>
      </c>
      <c r="H70" t="s">
        <v>170</v>
      </c>
    </row>
    <row r="71" spans="1:8" x14ac:dyDescent="0.3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  <c r="F71" s="37">
        <f>+inventario[[#This Row],[precio]]*inventario[[#This Row],[unds x paca]]</f>
        <v>12800</v>
      </c>
      <c r="G71" t="s">
        <v>184</v>
      </c>
      <c r="H71" t="s">
        <v>168</v>
      </c>
    </row>
    <row r="72" spans="1:8" x14ac:dyDescent="0.3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  <c r="F72" s="37">
        <f>+inventario[[#This Row],[precio]]*inventario[[#This Row],[unds x paca]]</f>
        <v>1600</v>
      </c>
      <c r="G72" t="s">
        <v>184</v>
      </c>
      <c r="H72" t="s">
        <v>168</v>
      </c>
    </row>
    <row r="73" spans="1:8" x14ac:dyDescent="0.3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  <c r="F73" s="37">
        <f>+inventario[[#This Row],[precio]]*inventario[[#This Row],[unds x paca]]</f>
        <v>7500</v>
      </c>
      <c r="G73" t="s">
        <v>170</v>
      </c>
      <c r="H73" t="s">
        <v>170</v>
      </c>
    </row>
    <row r="74" spans="1:8" x14ac:dyDescent="0.3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  <c r="F74" s="35">
        <f>+inventario[[#This Row],[precio]]*inventario[[#This Row],[unds x paca]]</f>
        <v>22000</v>
      </c>
      <c r="G74" t="s">
        <v>170</v>
      </c>
      <c r="H74" t="s">
        <v>170</v>
      </c>
    </row>
    <row r="75" spans="1:8" x14ac:dyDescent="0.3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  <c r="F75" s="35">
        <f>+inventario[[#This Row],[precio]]*inventario[[#This Row],[unds x paca]]</f>
        <v>3200</v>
      </c>
      <c r="G75" t="s">
        <v>185</v>
      </c>
      <c r="H75" t="s">
        <v>168</v>
      </c>
    </row>
    <row r="76" spans="1:8" x14ac:dyDescent="0.3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  <c r="F76" s="35">
        <f>+inventario[[#This Row],[precio]]*inventario[[#This Row],[unds x paca]]</f>
        <v>16000</v>
      </c>
      <c r="G76" t="s">
        <v>185</v>
      </c>
      <c r="H76" t="s">
        <v>168</v>
      </c>
    </row>
    <row r="77" spans="1:8" x14ac:dyDescent="0.3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  <c r="F77" s="35">
        <f>+inventario[[#This Row],[precio]]*inventario[[#This Row],[unds x paca]]</f>
        <v>17600</v>
      </c>
      <c r="G77" t="s">
        <v>185</v>
      </c>
      <c r="H77" t="s">
        <v>168</v>
      </c>
    </row>
    <row r="78" spans="1:8" x14ac:dyDescent="0.3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  <c r="F78" s="35">
        <f>+inventario[[#This Row],[precio]]*inventario[[#This Row],[unds x paca]]</f>
        <v>20000</v>
      </c>
      <c r="G78" t="s">
        <v>170</v>
      </c>
      <c r="H78" t="s">
        <v>170</v>
      </c>
    </row>
    <row r="79" spans="1:8" x14ac:dyDescent="0.3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  <c r="F79" s="35">
        <f>+inventario[[#This Row],[precio]]*inventario[[#This Row],[unds x paca]]</f>
        <v>35000</v>
      </c>
      <c r="G79" t="s">
        <v>170</v>
      </c>
      <c r="H79" t="s">
        <v>170</v>
      </c>
    </row>
    <row r="80" spans="1:8" x14ac:dyDescent="0.3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  <c r="F80" s="35">
        <f>+inventario[[#This Row],[precio]]*inventario[[#This Row],[unds x paca]]</f>
        <v>132000</v>
      </c>
      <c r="G80" t="s">
        <v>186</v>
      </c>
      <c r="H80" t="s">
        <v>194</v>
      </c>
    </row>
    <row r="81" spans="1:8" x14ac:dyDescent="0.3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  <c r="F81" s="35">
        <f>+inventario[[#This Row],[precio]]*inventario[[#This Row],[unds x paca]]</f>
        <v>132000</v>
      </c>
      <c r="G81" t="s">
        <v>186</v>
      </c>
      <c r="H81" t="s">
        <v>194</v>
      </c>
    </row>
    <row r="82" spans="1:8" x14ac:dyDescent="0.3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  <c r="F82" s="35">
        <f>+inventario[[#This Row],[precio]]*inventario[[#This Row],[unds x paca]]</f>
        <v>66000</v>
      </c>
      <c r="G82" t="s">
        <v>186</v>
      </c>
      <c r="H82" t="s">
        <v>194</v>
      </c>
    </row>
    <row r="83" spans="1:8" x14ac:dyDescent="0.3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  <c r="F83" s="35">
        <f>+inventario[[#This Row],[precio]]*inventario[[#This Row],[unds x paca]]</f>
        <v>49500</v>
      </c>
      <c r="G83" t="s">
        <v>186</v>
      </c>
      <c r="H83" t="s">
        <v>194</v>
      </c>
    </row>
    <row r="84" spans="1:8" x14ac:dyDescent="0.3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  <c r="F84" s="35">
        <f>+inventario[[#This Row],[precio]]*inventario[[#This Row],[unds x paca]]</f>
        <v>60500</v>
      </c>
      <c r="G84" t="s">
        <v>186</v>
      </c>
      <c r="H84" t="s">
        <v>194</v>
      </c>
    </row>
    <row r="85" spans="1:8" x14ac:dyDescent="0.3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  <c r="F85" s="35">
        <f>+inventario[[#This Row],[precio]]*inventario[[#This Row],[unds x paca]]</f>
        <v>55000</v>
      </c>
      <c r="G85" t="s">
        <v>186</v>
      </c>
      <c r="H85" t="s">
        <v>194</v>
      </c>
    </row>
    <row r="86" spans="1:8" x14ac:dyDescent="0.3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  <c r="F86" s="35">
        <f>+inventario[[#This Row],[precio]]*inventario[[#This Row],[unds x paca]]</f>
        <v>57600</v>
      </c>
      <c r="G86" t="s">
        <v>187</v>
      </c>
      <c r="H86" t="s">
        <v>194</v>
      </c>
    </row>
    <row r="87" spans="1:8" x14ac:dyDescent="0.3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  <c r="F87" s="35">
        <f>+inventario[[#This Row],[precio]]*inventario[[#This Row],[unds x paca]]</f>
        <v>43200</v>
      </c>
      <c r="G87" t="s">
        <v>187</v>
      </c>
      <c r="H87" t="s">
        <v>194</v>
      </c>
    </row>
    <row r="88" spans="1:8" x14ac:dyDescent="0.3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  <c r="F88" s="35">
        <f>+inventario[[#This Row],[precio]]*inventario[[#This Row],[unds x paca]]</f>
        <v>82500</v>
      </c>
      <c r="G88" t="s">
        <v>188</v>
      </c>
      <c r="H88" t="s">
        <v>194</v>
      </c>
    </row>
    <row r="89" spans="1:8" x14ac:dyDescent="0.3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  <c r="F89" s="35">
        <f>+inventario[[#This Row],[precio]]*inventario[[#This Row],[unds x paca]]</f>
        <v>48000</v>
      </c>
      <c r="G89" t="s">
        <v>188</v>
      </c>
      <c r="H89" t="s">
        <v>194</v>
      </c>
    </row>
    <row r="90" spans="1:8" x14ac:dyDescent="0.3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  <c r="F90" s="35">
        <f>+inventario[[#This Row],[precio]]*inventario[[#This Row],[unds x paca]]</f>
        <v>7000</v>
      </c>
      <c r="G90" t="s">
        <v>189</v>
      </c>
      <c r="H90" t="s">
        <v>194</v>
      </c>
    </row>
    <row r="91" spans="1:8" x14ac:dyDescent="0.3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  <c r="F91" s="35">
        <f>+inventario[[#This Row],[precio]]*inventario[[#This Row],[unds x paca]]</f>
        <v>38500</v>
      </c>
      <c r="G91" t="s">
        <v>189</v>
      </c>
      <c r="H91" t="s">
        <v>194</v>
      </c>
    </row>
    <row r="92" spans="1:8" x14ac:dyDescent="0.3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  <c r="F92" s="35">
        <f>+inventario[[#This Row],[precio]]*inventario[[#This Row],[unds x paca]]</f>
        <v>0</v>
      </c>
      <c r="G92" t="s">
        <v>190</v>
      </c>
      <c r="H92" t="s">
        <v>194</v>
      </c>
    </row>
    <row r="93" spans="1:8" x14ac:dyDescent="0.3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  <c r="F93" s="35">
        <f>+inventario[[#This Row],[precio]]*inventario[[#This Row],[unds x paca]]</f>
        <v>30000</v>
      </c>
      <c r="G93" t="s">
        <v>190</v>
      </c>
      <c r="H93" t="s">
        <v>194</v>
      </c>
    </row>
    <row r="94" spans="1:8" x14ac:dyDescent="0.3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  <c r="F94" s="35">
        <f>+inventario[[#This Row],[precio]]*inventario[[#This Row],[unds x paca]]</f>
        <v>24000</v>
      </c>
      <c r="H94" t="s">
        <v>195</v>
      </c>
    </row>
    <row r="95" spans="1:8" x14ac:dyDescent="0.3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  <c r="F95" s="35">
        <f>+inventario[[#This Row],[precio]]*inventario[[#This Row],[unds x paca]]</f>
        <v>6000</v>
      </c>
      <c r="H95" t="s">
        <v>195</v>
      </c>
    </row>
    <row r="96" spans="1:8" x14ac:dyDescent="0.3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  <c r="F96" s="35">
        <f>+inventario[[#This Row],[precio]]*inventario[[#This Row],[unds x paca]]</f>
        <v>96000</v>
      </c>
      <c r="G96" t="s">
        <v>191</v>
      </c>
      <c r="H96" t="s">
        <v>171</v>
      </c>
    </row>
    <row r="97" spans="1:8" x14ac:dyDescent="0.3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  <c r="F97" s="35">
        <f>+inventario[[#This Row],[precio]]*inventario[[#This Row],[unds x paca]]</f>
        <v>108000</v>
      </c>
      <c r="G97" t="s">
        <v>191</v>
      </c>
      <c r="H97" t="s">
        <v>171</v>
      </c>
    </row>
    <row r="98" spans="1:8" x14ac:dyDescent="0.3">
      <c r="A98" s="18" t="s">
        <v>98</v>
      </c>
      <c r="B98" s="18">
        <v>2</v>
      </c>
      <c r="C98" s="3">
        <v>17</v>
      </c>
      <c r="D98" s="33">
        <v>1</v>
      </c>
      <c r="E98" s="21">
        <v>0</v>
      </c>
      <c r="F98" s="35">
        <f>+inventario[[#This Row],[precio]]*inventario[[#This Row],[unds x paca]]</f>
        <v>0</v>
      </c>
      <c r="G98" t="s">
        <v>191</v>
      </c>
      <c r="H98" t="s">
        <v>171</v>
      </c>
    </row>
    <row r="99" spans="1:8" x14ac:dyDescent="0.3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  <c r="F99" s="35">
        <f>+inventario[[#This Row],[precio]]*inventario[[#This Row],[unds x paca]]</f>
        <v>190000</v>
      </c>
      <c r="G99" t="s">
        <v>191</v>
      </c>
      <c r="H99" t="s">
        <v>171</v>
      </c>
    </row>
    <row r="100" spans="1:8" x14ac:dyDescent="0.3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  <c r="F100" s="35">
        <f>+inventario[[#This Row],[precio]]*inventario[[#This Row],[unds x paca]]</f>
        <v>140000</v>
      </c>
      <c r="G100" t="s">
        <v>192</v>
      </c>
      <c r="H100" t="s">
        <v>171</v>
      </c>
    </row>
    <row r="101" spans="1:8" x14ac:dyDescent="0.3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  <c r="F101" s="35">
        <f>+inventario[[#This Row],[precio]]*inventario[[#This Row],[unds x paca]]</f>
        <v>258500</v>
      </c>
      <c r="G101" t="s">
        <v>192</v>
      </c>
      <c r="H101" t="s">
        <v>171</v>
      </c>
    </row>
    <row r="102" spans="1:8" x14ac:dyDescent="0.3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  <c r="F102" s="35">
        <f>+inventario[[#This Row],[precio]]*inventario[[#This Row],[unds x paca]]</f>
        <v>235000</v>
      </c>
      <c r="G102" t="s">
        <v>192</v>
      </c>
      <c r="H102" t="s">
        <v>171</v>
      </c>
    </row>
    <row r="103" spans="1:8" x14ac:dyDescent="0.3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  <c r="F103" s="35">
        <f>+inventario[[#This Row],[precio]]*inventario[[#This Row],[unds x paca]]</f>
        <v>42000</v>
      </c>
      <c r="G103" t="s">
        <v>192</v>
      </c>
      <c r="H103" t="s">
        <v>171</v>
      </c>
    </row>
    <row r="104" spans="1:8" x14ac:dyDescent="0.3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  <c r="F104" s="35">
        <f>+inventario[[#This Row],[precio]]*inventario[[#This Row],[unds x paca]]</f>
        <v>171500</v>
      </c>
      <c r="G104" t="s">
        <v>191</v>
      </c>
      <c r="H104" t="s">
        <v>171</v>
      </c>
    </row>
    <row r="105" spans="1:8" x14ac:dyDescent="0.3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  <c r="F105" s="35">
        <f>+inventario[[#This Row],[precio]]*inventario[[#This Row],[unds x paca]]</f>
        <v>88000</v>
      </c>
      <c r="G105" t="s">
        <v>191</v>
      </c>
      <c r="H105" t="s">
        <v>171</v>
      </c>
    </row>
    <row r="106" spans="1:8" x14ac:dyDescent="0.3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  <c r="F106" s="35">
        <f>+inventario[[#This Row],[precio]]*inventario[[#This Row],[unds x paca]]</f>
        <v>168000</v>
      </c>
      <c r="G106" t="s">
        <v>192</v>
      </c>
      <c r="H106" t="s">
        <v>171</v>
      </c>
    </row>
    <row r="107" spans="1:8" x14ac:dyDescent="0.3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  <c r="F107" s="35">
        <f>+inventario[[#This Row],[precio]]*inventario[[#This Row],[unds x paca]]</f>
        <v>24000</v>
      </c>
      <c r="G107" t="s">
        <v>192</v>
      </c>
      <c r="H107" t="s">
        <v>171</v>
      </c>
    </row>
    <row r="108" spans="1:8" x14ac:dyDescent="0.3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  <c r="F108" s="35">
        <f>+inventario[[#This Row],[precio]]*inventario[[#This Row],[unds x paca]]</f>
        <v>42000</v>
      </c>
      <c r="G108" t="s">
        <v>192</v>
      </c>
      <c r="H108" t="s">
        <v>171</v>
      </c>
    </row>
    <row r="109" spans="1:8" x14ac:dyDescent="0.3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  <c r="F109" s="35">
        <f>+inventario[[#This Row],[precio]]*inventario[[#This Row],[unds x paca]]</f>
        <v>220000</v>
      </c>
      <c r="G109" t="s">
        <v>192</v>
      </c>
      <c r="H109" t="s">
        <v>171</v>
      </c>
    </row>
    <row r="110" spans="1:8" x14ac:dyDescent="0.3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  <c r="F110" s="35">
        <f>+inventario[[#This Row],[precio]]*inventario[[#This Row],[unds x paca]]</f>
        <v>0</v>
      </c>
      <c r="G110" t="s">
        <v>192</v>
      </c>
      <c r="H110" t="s">
        <v>171</v>
      </c>
    </row>
    <row r="111" spans="1:8" x14ac:dyDescent="0.3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  <c r="F111" s="35">
        <f>+inventario[[#This Row],[precio]]*inventario[[#This Row],[unds x paca]]</f>
        <v>460000</v>
      </c>
      <c r="G111" t="s">
        <v>191</v>
      </c>
      <c r="H111" t="s">
        <v>171</v>
      </c>
    </row>
    <row r="112" spans="1:8" x14ac:dyDescent="0.3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  <c r="F112" s="35">
        <f>+inventario[[#This Row],[precio]]*inventario[[#This Row],[unds x paca]]</f>
        <v>294000</v>
      </c>
      <c r="G112" t="s">
        <v>192</v>
      </c>
      <c r="H112" t="s">
        <v>171</v>
      </c>
    </row>
    <row r="113" spans="1:8" x14ac:dyDescent="0.3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  <c r="F113" s="35">
        <f>+inventario[[#This Row],[precio]]*inventario[[#This Row],[unds x paca]]</f>
        <v>506000</v>
      </c>
      <c r="G113" t="s">
        <v>192</v>
      </c>
      <c r="H113" t="s">
        <v>171</v>
      </c>
    </row>
    <row r="114" spans="1:8" x14ac:dyDescent="0.3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  <c r="F114" s="35">
        <f>+inventario[[#This Row],[precio]]*inventario[[#This Row],[unds x paca]]</f>
        <v>441000</v>
      </c>
      <c r="G114" t="s">
        <v>192</v>
      </c>
      <c r="H114" t="s">
        <v>171</v>
      </c>
    </row>
    <row r="115" spans="1:8" x14ac:dyDescent="0.3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  <c r="F115" s="35">
        <f>+inventario[[#This Row],[precio]]*inventario[[#This Row],[unds x paca]]</f>
        <v>246000</v>
      </c>
      <c r="G115" t="s">
        <v>192</v>
      </c>
      <c r="H115" t="s">
        <v>171</v>
      </c>
    </row>
    <row r="116" spans="1:8" x14ac:dyDescent="0.3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  <c r="F116" s="35">
        <f>+inventario[[#This Row],[precio]]*inventario[[#This Row],[unds x paca]]</f>
        <v>495000</v>
      </c>
      <c r="G116" t="s">
        <v>191</v>
      </c>
      <c r="H116" t="s">
        <v>171</v>
      </c>
    </row>
    <row r="117" spans="1:8" x14ac:dyDescent="0.3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  <c r="F117" s="35">
        <f>+inventario[[#This Row],[precio]]*inventario[[#This Row],[unds x paca]]</f>
        <v>290000</v>
      </c>
      <c r="G117" t="s">
        <v>192</v>
      </c>
      <c r="H117" t="s">
        <v>171</v>
      </c>
    </row>
    <row r="118" spans="1:8" x14ac:dyDescent="0.3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  <c r="F118" s="35">
        <f>+inventario[[#This Row],[precio]]*inventario[[#This Row],[unds x paca]]</f>
        <v>194000</v>
      </c>
      <c r="G118" t="s">
        <v>192</v>
      </c>
      <c r="H118" t="s">
        <v>171</v>
      </c>
    </row>
    <row r="119" spans="1:8" x14ac:dyDescent="0.3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  <c r="F119" s="35">
        <f>+inventario[[#This Row],[precio]]*inventario[[#This Row],[unds x paca]]</f>
        <v>0</v>
      </c>
      <c r="G119" t="s">
        <v>192</v>
      </c>
      <c r="H119" t="s">
        <v>171</v>
      </c>
    </row>
    <row r="120" spans="1:8" x14ac:dyDescent="0.3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  <c r="F120" s="35">
        <f>+inventario[[#This Row],[precio]]*inventario[[#This Row],[unds x paca]]</f>
        <v>0</v>
      </c>
      <c r="G120" t="s">
        <v>192</v>
      </c>
      <c r="H120" t="s">
        <v>171</v>
      </c>
    </row>
    <row r="121" spans="1:8" x14ac:dyDescent="0.3">
      <c r="A121" s="18" t="s">
        <v>121</v>
      </c>
      <c r="B121" s="18">
        <v>3</v>
      </c>
      <c r="C121" s="3">
        <v>16</v>
      </c>
      <c r="D121" s="33">
        <v>9</v>
      </c>
      <c r="E121" s="21">
        <v>106000</v>
      </c>
      <c r="F121" s="35">
        <f>+inventario[[#This Row],[precio]]*inventario[[#This Row],[unds x paca]]</f>
        <v>954000</v>
      </c>
      <c r="G121" t="s">
        <v>191</v>
      </c>
      <c r="H121" t="s">
        <v>171</v>
      </c>
    </row>
    <row r="122" spans="1:8" x14ac:dyDescent="0.3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  <c r="F122" s="38">
        <f>+inventario[[#This Row],[precio]]*inventario[[#This Row],[unds x paca]]</f>
        <v>212000</v>
      </c>
      <c r="G122" t="s">
        <v>192</v>
      </c>
      <c r="H122" t="s">
        <v>171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workbookViewId="0">
      <selection activeCell="L16" sqref="L16"/>
    </sheetView>
  </sheetViews>
  <sheetFormatPr baseColWidth="10" defaultColWidth="8.88671875" defaultRowHeight="14.4" x14ac:dyDescent="0.3"/>
  <cols>
    <col min="1" max="1" width="9.44140625" bestFit="1" customWidth="1"/>
    <col min="2" max="2" width="20" bestFit="1" customWidth="1"/>
    <col min="3" max="5" width="20" customWidth="1"/>
    <col min="6" max="6" width="11.33203125" bestFit="1" customWidth="1"/>
  </cols>
  <sheetData>
    <row r="1" spans="1:6" x14ac:dyDescent="0.3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3">
      <c r="A2" s="30">
        <v>45823</v>
      </c>
      <c r="B2" t="s">
        <v>174</v>
      </c>
      <c r="C2" t="s">
        <v>161</v>
      </c>
      <c r="D2" t="s">
        <v>160</v>
      </c>
      <c r="E2" t="s">
        <v>150</v>
      </c>
      <c r="F2" t="s">
        <v>173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K3"/>
  <sheetViews>
    <sheetView workbookViewId="0">
      <selection activeCell="C8" sqref="C8"/>
    </sheetView>
  </sheetViews>
  <sheetFormatPr baseColWidth="10" defaultColWidth="8.88671875" defaultRowHeight="14.4" x14ac:dyDescent="0.3"/>
  <cols>
    <col min="1" max="1" width="12.21875" customWidth="1"/>
    <col min="2" max="2" width="20" bestFit="1" customWidth="1"/>
    <col min="3" max="3" width="38.6640625" bestFit="1" customWidth="1"/>
    <col min="4" max="4" width="11" bestFit="1" customWidth="1"/>
    <col min="5" max="5" width="14.88671875" bestFit="1" customWidth="1"/>
    <col min="6" max="6" width="9.5546875" bestFit="1" customWidth="1"/>
  </cols>
  <sheetData>
    <row r="1" spans="1:11" x14ac:dyDescent="0.3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  <c r="G1" t="s">
        <v>196</v>
      </c>
      <c r="H1" t="s">
        <v>197</v>
      </c>
      <c r="I1" t="s">
        <v>199</v>
      </c>
      <c r="J1" t="s">
        <v>175</v>
      </c>
      <c r="K1" t="s">
        <v>198</v>
      </c>
    </row>
    <row r="2" spans="1:11" x14ac:dyDescent="0.3">
      <c r="A2" s="30">
        <v>45823</v>
      </c>
      <c r="B2" t="s">
        <v>174</v>
      </c>
      <c r="C2" t="s">
        <v>12</v>
      </c>
      <c r="D2">
        <v>7</v>
      </c>
      <c r="E2" t="s">
        <v>172</v>
      </c>
      <c r="F2" t="s">
        <v>161</v>
      </c>
      <c r="G2">
        <f>IF(ventas[[#This Row],[unds o pacas]]="u",_xlfn.XLOOKUP(ventas[[#This Row],[producto]],inventario!A:A,inventario!E:E),_xlfn.XLOOKUP(ventas[[#This Row],[producto]],inventario!A:A,inventario!F:F))</f>
        <v>5500</v>
      </c>
      <c r="H2">
        <f>ventas[[#This Row],[cantidad]]*ventas[[#This Row],[Precio]]</f>
        <v>38500</v>
      </c>
      <c r="I2" t="str">
        <f>_xlfn.XLOOKUP(ventas[[#This Row],[producto]],inventario[Producto],inventario[categoria])</f>
        <v>Refrescos</v>
      </c>
      <c r="J2" t="str">
        <f>_xlfn.XLOOKUP(ventas[[#This Row],[producto]],inventario[Producto],inventario[Marca])</f>
        <v>Coca Cola</v>
      </c>
      <c r="K2" s="47" t="str">
        <f>TEXT(ventas[[#This Row],[fecha]],"MMM")</f>
        <v>jun</v>
      </c>
    </row>
    <row r="3" spans="1:11" x14ac:dyDescent="0.3">
      <c r="A3" s="30">
        <v>45823</v>
      </c>
      <c r="B3" t="s">
        <v>174</v>
      </c>
      <c r="C3" t="s">
        <v>23</v>
      </c>
      <c r="D3">
        <v>5</v>
      </c>
      <c r="E3" t="s">
        <v>172</v>
      </c>
      <c r="F3" t="s">
        <v>161</v>
      </c>
      <c r="G3">
        <f>IF(ventas[[#This Row],[unds o pacas]]="u",_xlfn.XLOOKUP(ventas[[#This Row],[producto]],inventario!A:A,inventario!E:E),_xlfn.XLOOKUP(ventas[[#This Row],[producto]],inventario!A:A,inventario!F:F))</f>
        <v>5500</v>
      </c>
      <c r="H3">
        <f>ventas[[#This Row],[cantidad]]*ventas[[#This Row],[Precio]]</f>
        <v>27500</v>
      </c>
      <c r="I3" t="str">
        <f>_xlfn.XLOOKUP(ventas[[#This Row],[producto]],inventario[Producto],inventario[categoria])</f>
        <v>Refrescos</v>
      </c>
      <c r="J3" t="str">
        <f>_xlfn.XLOOKUP(ventas[[#This Row],[producto]],inventario[Producto],inventario[Marca])</f>
        <v>Refrescos</v>
      </c>
      <c r="K3" s="47" t="str">
        <f>TEXT(ventas[[#This Row],[fecha]],"MMM")</f>
        <v>jun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baseColWidth="10" defaultColWidth="8.88671875" defaultRowHeight="14.4" x14ac:dyDescent="0.3"/>
  <cols>
    <col min="1" max="1" width="21.33203125" style="3" customWidth="1"/>
    <col min="2" max="2" width="40.44140625" style="3" customWidth="1"/>
    <col min="3" max="3" width="9.109375" style="11"/>
    <col min="4" max="4" width="12" style="15" bestFit="1" customWidth="1"/>
    <col min="5" max="5" width="13.109375" style="14" bestFit="1" customWidth="1"/>
    <col min="6" max="6" width="18.5546875" style="3" bestFit="1" customWidth="1"/>
    <col min="7" max="7" width="15.33203125" style="3" bestFit="1" customWidth="1"/>
  </cols>
  <sheetData>
    <row r="1" spans="1:7" ht="28.8" x14ac:dyDescent="0.3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3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3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3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3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3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3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3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3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3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3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3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3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3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3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3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3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3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3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3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3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3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3">
      <c r="D23" s="4"/>
      <c r="E23" s="4"/>
    </row>
    <row r="24" spans="1:6" x14ac:dyDescent="0.3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3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3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3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3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3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3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3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3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3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3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3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3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3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3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3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3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3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3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3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3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3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3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3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3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3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3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3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3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3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3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3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3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3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3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3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3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3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3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3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3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3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3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3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3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3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3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3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3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3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3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3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3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3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3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3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3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3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3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3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3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3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3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3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3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3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3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3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3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3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3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3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3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3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3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3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3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3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3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3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3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3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3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3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3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3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3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3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3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3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3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3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3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3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3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3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3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3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3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3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3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3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3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3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3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3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3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3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3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3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3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3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3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3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3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3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3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3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3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3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3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3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3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3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3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3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3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3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3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3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3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3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3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3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3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3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3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3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3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3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3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3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3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3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3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3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3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3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3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3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3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3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3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3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3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3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3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3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3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3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3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3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3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3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3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3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3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3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3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3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3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3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3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3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3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3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3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3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3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3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3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3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3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3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3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3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3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3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3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3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3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3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3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3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3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3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3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3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3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3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3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3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3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3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3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3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3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3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3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3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3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3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3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3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3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3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3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3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3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3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3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3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3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3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3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3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3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3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3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3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3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3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3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3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3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3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3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3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3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3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3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3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3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3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3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3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3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3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3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3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3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3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3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3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3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3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3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3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3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3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3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3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3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3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3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3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3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3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3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3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3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3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3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3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3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3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3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3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3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3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3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3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3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3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3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3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3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3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3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3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3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3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3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3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3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3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3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3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3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3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3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3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3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3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3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3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3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3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3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3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3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3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3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3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3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3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3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3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3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3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3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3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3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3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3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3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3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3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3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3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3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3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3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3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3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3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3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3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3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3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3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3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3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3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3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3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3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3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3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3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3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3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3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3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3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3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3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3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3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3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3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3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3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3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3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3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3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3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3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3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3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3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3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3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3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3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3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3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3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3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3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3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3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3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3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3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3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3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3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3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3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3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3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3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3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3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3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3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3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3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3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3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3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3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3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3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3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3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3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3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3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3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3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3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3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3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3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3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3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3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3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3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3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3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3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3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3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3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3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3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3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3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3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3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3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3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3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3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3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3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3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3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3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3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3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3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3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3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3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3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3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3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3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3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3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3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3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3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3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3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3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3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3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3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3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3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3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3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3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3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3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3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3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3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3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3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3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3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3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3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3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3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3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3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3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3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3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3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3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3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3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3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3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3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3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3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3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3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3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3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3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3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3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3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3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3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3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3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3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3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3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3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3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3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3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3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3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3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3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3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3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3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3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3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3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3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3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3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3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3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3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3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3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3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3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3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3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3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3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3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3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3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3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3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3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3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3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3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3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3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3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3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3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3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3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3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3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3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3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3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3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3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3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3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3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3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3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3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3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3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3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3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3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3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3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3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3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3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3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3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3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3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3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3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3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3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3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3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3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3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3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3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3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3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3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3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3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3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3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3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3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3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3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3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3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3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3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3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3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3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3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3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3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3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3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3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3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3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3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3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3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3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3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3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3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3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3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3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3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3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3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3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3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3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3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3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3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3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3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3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3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3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3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3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3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3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3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3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3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3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3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3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3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3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3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3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3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3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3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3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3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3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3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3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3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3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3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3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3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3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3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3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3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3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3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3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3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3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3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3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3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3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3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3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3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3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3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3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3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3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3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3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3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3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3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3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3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3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3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3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3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3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3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3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3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3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3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3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3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3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3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3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3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3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3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3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3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3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3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3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3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3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3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3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3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3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3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3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3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3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3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3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3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3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3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3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3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3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3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3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3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3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3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3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3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3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3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3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3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3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3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3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3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3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3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3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3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3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3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3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3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3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3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3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3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3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3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3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3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3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3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3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3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3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3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3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3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3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3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3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3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3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3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3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3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3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3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3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3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3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3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3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3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3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3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3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3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3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3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3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3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3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3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3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3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3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3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3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3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3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3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3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3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3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3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3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3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3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3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3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3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3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3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3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3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3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3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3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3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3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3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3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3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3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3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3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3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3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3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3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3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3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3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3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3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3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3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3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3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3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3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3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3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3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3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3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3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3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3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3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3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3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3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3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3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3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3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3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3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3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3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3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3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3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3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3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3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3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3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3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3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3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3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3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3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3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3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3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3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3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3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3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3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3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3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3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3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3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3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3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workbookViewId="0">
      <selection activeCell="M5" sqref="M5"/>
    </sheetView>
  </sheetViews>
  <sheetFormatPr baseColWidth="10" defaultColWidth="11.44140625" defaultRowHeight="14.4" x14ac:dyDescent="0.3"/>
  <cols>
    <col min="1" max="1" width="20.6640625" bestFit="1" customWidth="1"/>
  </cols>
  <sheetData>
    <row r="1" spans="1:1" x14ac:dyDescent="0.3">
      <c r="A1" t="s">
        <v>154</v>
      </c>
    </row>
    <row r="2" spans="1:1" x14ac:dyDescent="0.3">
      <c r="A2" t="s">
        <v>150</v>
      </c>
    </row>
    <row r="3" spans="1:1" x14ac:dyDescent="0.3">
      <c r="A3" t="s">
        <v>151</v>
      </c>
    </row>
    <row r="4" spans="1:1" x14ac:dyDescent="0.3">
      <c r="A4" t="s">
        <v>152</v>
      </c>
    </row>
    <row r="5" spans="1:1" x14ac:dyDescent="0.3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60A53-DCA6-4910-AEF6-B767581478F0}">
  <dimension ref="A1:K38"/>
  <sheetViews>
    <sheetView workbookViewId="0">
      <selection activeCell="E15" sqref="E15"/>
    </sheetView>
  </sheetViews>
  <sheetFormatPr baseColWidth="10" defaultRowHeight="14.4" x14ac:dyDescent="0.3"/>
  <cols>
    <col min="1" max="1" width="11.5546875" bestFit="1" customWidth="1"/>
    <col min="2" max="2" width="15.21875" bestFit="1" customWidth="1"/>
    <col min="3" max="3" width="5.88671875" customWidth="1"/>
    <col min="4" max="4" width="11.5546875" bestFit="1" customWidth="1"/>
    <col min="5" max="5" width="16.44140625" bestFit="1" customWidth="1"/>
    <col min="6" max="6" width="5.6640625" customWidth="1"/>
    <col min="7" max="7" width="11.5546875" bestFit="1" customWidth="1"/>
    <col min="8" max="8" width="16.44140625" bestFit="1" customWidth="1"/>
    <col min="9" max="9" width="6.5546875" customWidth="1"/>
    <col min="10" max="10" width="16.21875" bestFit="1" customWidth="1"/>
    <col min="11" max="11" width="16.44140625" bestFit="1" customWidth="1"/>
  </cols>
  <sheetData>
    <row r="1" spans="1:11" x14ac:dyDescent="0.3">
      <c r="A1" t="s">
        <v>163</v>
      </c>
    </row>
    <row r="2" spans="1:11" x14ac:dyDescent="0.3">
      <c r="A2" s="40">
        <v>66000</v>
      </c>
    </row>
    <row r="4" spans="1:11" x14ac:dyDescent="0.3">
      <c r="A4" s="46" t="s">
        <v>130</v>
      </c>
      <c r="B4" t="s">
        <v>165</v>
      </c>
      <c r="D4" s="46" t="s">
        <v>130</v>
      </c>
      <c r="E4" t="s">
        <v>164</v>
      </c>
      <c r="G4" s="46" t="s">
        <v>130</v>
      </c>
      <c r="H4" t="s">
        <v>165</v>
      </c>
      <c r="J4" s="46" t="s">
        <v>130</v>
      </c>
      <c r="K4" t="s">
        <v>165</v>
      </c>
    </row>
    <row r="5" spans="1:11" x14ac:dyDescent="0.3">
      <c r="A5" s="41" t="s">
        <v>12</v>
      </c>
      <c r="B5" s="40">
        <v>38500</v>
      </c>
      <c r="D5" s="41" t="s">
        <v>174</v>
      </c>
      <c r="E5" s="47">
        <v>2</v>
      </c>
      <c r="G5" s="41" t="s">
        <v>200</v>
      </c>
      <c r="H5" s="42">
        <v>66000</v>
      </c>
      <c r="J5" s="41" t="s">
        <v>23</v>
      </c>
      <c r="K5" s="42">
        <v>27500</v>
      </c>
    </row>
    <row r="6" spans="1:11" x14ac:dyDescent="0.3">
      <c r="A6" s="41" t="s">
        <v>23</v>
      </c>
      <c r="B6" s="40">
        <v>27500</v>
      </c>
      <c r="D6" s="41" t="s">
        <v>166</v>
      </c>
      <c r="E6" s="47">
        <v>2</v>
      </c>
      <c r="G6" s="41" t="s">
        <v>166</v>
      </c>
      <c r="H6" s="42">
        <v>66000</v>
      </c>
      <c r="J6" s="41" t="s">
        <v>12</v>
      </c>
      <c r="K6" s="42">
        <v>38500</v>
      </c>
    </row>
    <row r="7" spans="1:11" x14ac:dyDescent="0.3">
      <c r="A7" s="41" t="s">
        <v>166</v>
      </c>
      <c r="B7" s="40">
        <v>66000</v>
      </c>
      <c r="J7" s="41" t="s">
        <v>166</v>
      </c>
      <c r="K7" s="42">
        <v>66000</v>
      </c>
    </row>
    <row r="36" spans="1:5" x14ac:dyDescent="0.3">
      <c r="A36" s="46" t="s">
        <v>130</v>
      </c>
      <c r="B36" t="s">
        <v>167</v>
      </c>
      <c r="D36" s="46" t="s">
        <v>130</v>
      </c>
      <c r="E36" t="s">
        <v>165</v>
      </c>
    </row>
    <row r="37" spans="1:5" x14ac:dyDescent="0.3">
      <c r="A37" s="41" t="s">
        <v>170</v>
      </c>
      <c r="B37" s="47">
        <v>12</v>
      </c>
      <c r="D37" s="41" t="s">
        <v>170</v>
      </c>
      <c r="E37" s="42">
        <v>66000</v>
      </c>
    </row>
    <row r="38" spans="1:5" x14ac:dyDescent="0.3">
      <c r="A38" s="41" t="s">
        <v>166</v>
      </c>
      <c r="B38" s="47">
        <v>12</v>
      </c>
      <c r="D38" s="41" t="s">
        <v>166</v>
      </c>
      <c r="E38" s="42">
        <v>66000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32570-1BE3-42DB-B096-E8AFD3168F9A}">
  <sheetPr codeName="Hoja4"/>
  <dimension ref="Z6"/>
  <sheetViews>
    <sheetView tabSelected="1" zoomScale="70" zoomScaleNormal="70" workbookViewId="0">
      <selection activeCell="BP13" sqref="BP13"/>
    </sheetView>
  </sheetViews>
  <sheetFormatPr baseColWidth="10" defaultColWidth="3.5546875" defaultRowHeight="14.4" x14ac:dyDescent="0.3"/>
  <cols>
    <col min="1" max="16384" width="3.5546875" style="44"/>
  </cols>
  <sheetData>
    <row r="6" spans="26:26" x14ac:dyDescent="0.3">
      <c r="Z6" s="4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baseColWidth="10" defaultColWidth="11.44140625" defaultRowHeight="14.4" x14ac:dyDescent="0.3"/>
  <cols>
    <col min="1" max="1" width="35.44140625" bestFit="1" customWidth="1"/>
    <col min="2" max="2" width="14.33203125" customWidth="1"/>
    <col min="3" max="3" width="21.6640625" bestFit="1" customWidth="1"/>
    <col min="4" max="4" width="14.44140625" customWidth="1"/>
  </cols>
  <sheetData>
    <row r="1" spans="1:5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3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3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3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3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3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3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3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3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3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3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3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3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3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3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3">
      <c r="A16" s="3" t="s">
        <v>139</v>
      </c>
      <c r="B16" s="4"/>
      <c r="C16" s="4">
        <v>36000</v>
      </c>
      <c r="D16" s="4">
        <v>0</v>
      </c>
      <c r="E16" s="3"/>
    </row>
    <row r="17" spans="1:5" x14ac:dyDescent="0.3">
      <c r="A17" s="3" t="s">
        <v>140</v>
      </c>
      <c r="B17" s="4"/>
      <c r="C17" s="4">
        <v>28000</v>
      </c>
      <c r="D17" s="4">
        <v>0</v>
      </c>
      <c r="E17" s="3"/>
    </row>
    <row r="18" spans="1:5" x14ac:dyDescent="0.3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3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3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3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3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3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3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3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3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3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3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3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3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3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3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3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3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3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3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3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3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3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3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3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3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3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3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3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3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3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3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3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3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3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3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3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3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3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3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3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3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3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3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3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3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3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3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3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3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3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3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3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3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3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3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3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3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3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3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3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3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3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3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3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3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3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3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3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3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3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3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3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3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3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3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3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3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3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3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3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3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3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3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3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3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3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3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3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3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3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3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3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3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3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3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3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3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3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3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3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3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3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3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3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3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baseColWidth="10" defaultColWidth="8.88671875" defaultRowHeight="14.4" x14ac:dyDescent="0.3"/>
  <sheetData>
    <row r="1" spans="1:1" x14ac:dyDescent="0.3">
      <c r="A1" t="s">
        <v>135</v>
      </c>
    </row>
    <row r="2" spans="1:1" x14ac:dyDescent="0.3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clientes</vt:lpstr>
      <vt:lpstr>inventario</vt:lpstr>
      <vt:lpstr>ordenes</vt:lpstr>
      <vt:lpstr>ventas</vt:lpstr>
      <vt:lpstr>Facturas</vt:lpstr>
      <vt:lpstr>vendedores</vt:lpstr>
      <vt:lpstr>Analisis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CAROLINA PINEDA SANMARTIN</cp:lastModifiedBy>
  <dcterms:created xsi:type="dcterms:W3CDTF">2024-05-20T00:40:08Z</dcterms:created>
  <dcterms:modified xsi:type="dcterms:W3CDTF">2025-06-15T19:32:10Z</dcterms:modified>
</cp:coreProperties>
</file>